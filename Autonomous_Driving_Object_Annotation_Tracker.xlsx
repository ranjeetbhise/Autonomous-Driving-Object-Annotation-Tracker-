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notation_Data" sheetId="2" state="visible" r:id="rId2"/>
    <sheet xmlns:r="http://schemas.openxmlformats.org/officeDocument/2006/relationships" name="Quality_Check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oject_Guide" sheetId="5" state="visible" r:id="rId5"/>
  </sheets>
  <definedNames>
    <definedName name="_xlnm._FilterDatabase" localSheetId="1" hidden="1">'Annotation_Data'!$A$1:$K$61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666666"/>
    </font>
    <font>
      <b val="1"/>
    </font>
    <font>
      <b val="1"/>
      <color rgb="001F1F1F"/>
      <sz val="16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Object Class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'Summary'!$A$16:$A$22</f>
            </numRef>
          </cat>
          <val>
            <numRef>
              <f>'Summary'!$B$16:$B$22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Tasks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Object Class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'Summary'!$D$16:$D$19</f>
            </numRef>
          </cat>
          <val>
            <numRef>
              <f>'Summary'!$E$16:$E$19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24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nnotationTable" displayName="AnnotationTable" ref="A1:K61" headerRowCount="1">
  <autoFilter ref="A1:K61"/>
  <tableColumns count="11">
    <tableColumn id="1" name="Task_ID"/>
    <tableColumn id="2" name="Date"/>
    <tableColumn id="3" name="Scene_ID"/>
    <tableColumn id="4" name="Object_ID"/>
    <tableColumn id="5" name="Object_Class"/>
    <tableColumn id="6" name="Annotator"/>
    <tableColumn id="7" name="Annotation_Status"/>
    <tableColumn id="8" name="Quality_Result"/>
    <tableColumn id="9" name="Bounding_Box_Complete"/>
    <tableColumn id="10" name="Label_Confidence"/>
    <tableColumn id="11" name="Review_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QualityTable" displayName="QualityTable" ref="A1:G31" headerRowCount="1">
  <autoFilter ref="A1:G31"/>
  <tableColumns count="7">
    <tableColumn id="1" name="Task_ID"/>
    <tableColumn id="2" name="Object_Class"/>
    <tableColumn id="3" name="Quality_Result"/>
    <tableColumn id="4" name="Issue_Type"/>
    <tableColumn id="5" name="Severity"/>
    <tableColumn id="6" name="Action_Required"/>
    <tableColumn id="7" name="Reviewer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AUTONOMOUS DRIVING OBJECT ANNOTATION DASHBOARD</t>
        </is>
      </c>
      <c r="B1" s="2" t="n"/>
      <c r="C1" s="2" t="n"/>
      <c r="D1" s="2" t="n"/>
      <c r="E1" s="2" t="n"/>
      <c r="F1" s="2" t="n"/>
    </row>
    <row r="2">
      <c r="A2" s="3" t="inlineStr">
        <is>
          <t>Illustrative dataset | Excel formulas and charts update when records are changed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Total Tasks</t>
        </is>
      </c>
      <c r="B4" s="2" t="n"/>
      <c r="C4" s="4" t="inlineStr">
        <is>
          <t>Completed</t>
        </is>
      </c>
      <c r="D4" s="2" t="n"/>
      <c r="E4" s="4" t="inlineStr">
        <is>
          <t>Pending</t>
        </is>
      </c>
      <c r="F4" s="2" t="n"/>
    </row>
    <row r="5">
      <c r="A5" s="5">
        <f>Summary!B4</f>
        <v/>
      </c>
      <c r="B5" s="2" t="n"/>
      <c r="C5" s="5">
        <f>Summary!B5</f>
        <v/>
      </c>
      <c r="D5" s="2" t="n"/>
      <c r="E5" s="5">
        <f>Summary!B6</f>
        <v/>
      </c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Rejected</t>
        </is>
      </c>
      <c r="B8" s="2" t="n"/>
      <c r="C8" s="4" t="inlineStr">
        <is>
          <t>Completion Rate</t>
        </is>
      </c>
      <c r="D8" s="2" t="n"/>
      <c r="E8" s="4" t="inlineStr">
        <is>
          <t>QA Pass Rate</t>
        </is>
      </c>
      <c r="F8" s="2" t="n"/>
    </row>
    <row r="9">
      <c r="A9" s="5">
        <f>Summary!B7</f>
        <v/>
      </c>
      <c r="B9" s="2" t="n"/>
      <c r="C9" s="6">
        <f>Summary!B11</f>
        <v/>
      </c>
      <c r="D9" s="2" t="n"/>
      <c r="E9" s="6">
        <f>Summary!B12</f>
        <v/>
      </c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How to use</t>
        </is>
      </c>
      <c r="B12" s="2" t="n"/>
      <c r="C12" s="2" t="n"/>
      <c r="D12" s="2" t="n"/>
      <c r="E12" s="2" t="n"/>
      <c r="F12" s="2" t="n"/>
    </row>
    <row r="13">
      <c r="A13" s="2" t="inlineStr">
        <is>
          <t>1. Update records in Annotation_Data.</t>
        </is>
      </c>
      <c r="B13" s="2" t="n"/>
      <c r="C13" s="2" t="n"/>
      <c r="D13" s="2" t="n"/>
      <c r="E13" s="2" t="n"/>
      <c r="F13" s="2" t="n"/>
    </row>
    <row r="14">
      <c r="A14" s="2" t="inlineStr">
        <is>
          <t>2. Use dropdowns to standardize classes, statuses, and QA results.</t>
        </is>
      </c>
      <c r="B14" s="2" t="n"/>
      <c r="C14" s="2" t="n"/>
      <c r="D14" s="2" t="n"/>
      <c r="E14" s="2" t="n"/>
      <c r="F14" s="2" t="n"/>
    </row>
    <row r="15">
      <c r="A15" s="2" t="inlineStr">
        <is>
          <t>3. Review Summary for class counts and status charts.</t>
        </is>
      </c>
      <c r="B15" s="2" t="n"/>
      <c r="C15" s="2" t="n"/>
      <c r="D15" s="2" t="n"/>
      <c r="E15" s="2" t="n"/>
      <c r="F15" s="2" t="n"/>
    </row>
    <row r="16">
      <c r="A16" s="2" t="inlineStr">
        <is>
          <t>4. Use Quality_Check to track review findings and corrective actions.</t>
        </is>
      </c>
      <c r="B16" s="2" t="n"/>
      <c r="C16" s="2" t="n"/>
      <c r="D16" s="2" t="n"/>
      <c r="E16" s="2" t="n"/>
      <c r="F16" s="2" t="n"/>
    </row>
  </sheetData>
  <mergeCells count="5">
    <mergeCell ref="A2:F2"/>
    <mergeCell ref="A16:F16"/>
    <mergeCell ref="A14:F14"/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0" customWidth="1" min="5" max="5"/>
    <col width="18" customWidth="1" min="6" max="6"/>
    <col width="20" customWidth="1" min="7" max="7"/>
    <col width="18" customWidth="1" min="8" max="8"/>
    <col width="24" customWidth="1" min="9" max="9"/>
    <col width="18" customWidth="1" min="10" max="10"/>
    <col width="28" customWidth="1" min="11" max="11"/>
  </cols>
  <sheetData>
    <row r="1">
      <c r="A1" s="8" t="inlineStr">
        <is>
          <t>Task_ID</t>
        </is>
      </c>
      <c r="B1" s="8" t="inlineStr">
        <is>
          <t>Date</t>
        </is>
      </c>
      <c r="C1" s="8" t="inlineStr">
        <is>
          <t>Scene_ID</t>
        </is>
      </c>
      <c r="D1" s="8" t="inlineStr">
        <is>
          <t>Object_ID</t>
        </is>
      </c>
      <c r="E1" s="8" t="inlineStr">
        <is>
          <t>Object_Class</t>
        </is>
      </c>
      <c r="F1" s="8" t="inlineStr">
        <is>
          <t>Annotator</t>
        </is>
      </c>
      <c r="G1" s="8" t="inlineStr">
        <is>
          <t>Annotation_Status</t>
        </is>
      </c>
      <c r="H1" s="8" t="inlineStr">
        <is>
          <t>Quality_Result</t>
        </is>
      </c>
      <c r="I1" s="8" t="inlineStr">
        <is>
          <t>Bounding_Box_Complete</t>
        </is>
      </c>
      <c r="J1" s="8" t="inlineStr">
        <is>
          <t>Label_Confidence</t>
        </is>
      </c>
      <c r="K1" s="8" t="inlineStr">
        <is>
          <t>Review_Notes</t>
        </is>
      </c>
    </row>
    <row r="2">
      <c r="A2" s="2" t="inlineStr">
        <is>
          <t>T001</t>
        </is>
      </c>
      <c r="B2" s="9" t="n">
        <v>46298</v>
      </c>
      <c r="C2" s="2" t="inlineStr">
        <is>
          <t>SC018</t>
        </is>
      </c>
      <c r="D2" s="2" t="inlineStr">
        <is>
          <t>OBJ0001</t>
        </is>
      </c>
      <c r="E2" s="2" t="inlineStr">
        <is>
          <t>Pedestrian</t>
        </is>
      </c>
      <c r="F2" s="2" t="inlineStr">
        <is>
          <t>Annotator A</t>
        </is>
      </c>
      <c r="G2" s="2" t="inlineStr">
        <is>
          <t>Rejected</t>
        </is>
      </c>
      <c r="H2" s="2" t="inlineStr">
        <is>
          <t>Major Error</t>
        </is>
      </c>
      <c r="I2" s="2" t="inlineStr">
        <is>
          <t>No</t>
        </is>
      </c>
      <c r="J2" s="10" t="n">
        <v>0.85</v>
      </c>
      <c r="K2" s="2" t="inlineStr">
        <is>
          <t>Verify object class</t>
        </is>
      </c>
    </row>
    <row r="3">
      <c r="A3" s="2" t="inlineStr">
        <is>
          <t>T002</t>
        </is>
      </c>
      <c r="B3" s="9" t="n">
        <v>46298</v>
      </c>
      <c r="C3" s="2" t="inlineStr">
        <is>
          <t>SC008</t>
        </is>
      </c>
      <c r="D3" s="2" t="inlineStr">
        <is>
          <t>OBJ0002</t>
        </is>
      </c>
      <c r="E3" s="2" t="inlineStr">
        <is>
          <t>Truck</t>
        </is>
      </c>
      <c r="F3" s="2" t="inlineStr">
        <is>
          <t>Annotator A</t>
        </is>
      </c>
      <c r="G3" s="2" t="inlineStr">
        <is>
          <t>Completed</t>
        </is>
      </c>
      <c r="H3" s="2" t="inlineStr">
        <is>
          <t>Pass</t>
        </is>
      </c>
      <c r="I3" s="2" t="inlineStr">
        <is>
          <t>No</t>
        </is>
      </c>
      <c r="J3" s="10" t="n">
        <v>0.67</v>
      </c>
      <c r="K3" s="2" t="inlineStr">
        <is>
          <t>Verify object class</t>
        </is>
      </c>
    </row>
    <row r="4">
      <c r="A4" s="2" t="inlineStr">
        <is>
          <t>T003</t>
        </is>
      </c>
      <c r="B4" s="9" t="n">
        <v>46314</v>
      </c>
      <c r="C4" s="2" t="inlineStr">
        <is>
          <t>SC013</t>
        </is>
      </c>
      <c r="D4" s="2" t="inlineStr">
        <is>
          <t>OBJ0003</t>
        </is>
      </c>
      <c r="E4" s="2" t="inlineStr">
        <is>
          <t>Car</t>
        </is>
      </c>
      <c r="F4" s="2" t="inlineStr">
        <is>
          <t>Annotator A</t>
        </is>
      </c>
      <c r="G4" s="2" t="inlineStr">
        <is>
          <t>Rejected</t>
        </is>
      </c>
      <c r="H4" s="2" t="inlineStr">
        <is>
          <t>Major Error</t>
        </is>
      </c>
      <c r="I4" s="2" t="inlineStr">
        <is>
          <t>Yes</t>
        </is>
      </c>
      <c r="J4" s="10" t="n">
        <v>0.67</v>
      </c>
      <c r="K4" s="2" t="inlineStr">
        <is>
          <t>Missing attributes</t>
        </is>
      </c>
    </row>
    <row r="5">
      <c r="A5" s="2" t="inlineStr">
        <is>
          <t>T004</t>
        </is>
      </c>
      <c r="B5" s="9" t="n">
        <v>46299</v>
      </c>
      <c r="C5" s="2" t="inlineStr">
        <is>
          <t>SC010</t>
        </is>
      </c>
      <c r="D5" s="2" t="inlineStr">
        <is>
          <t>OBJ0004</t>
        </is>
      </c>
      <c r="E5" s="2" t="inlineStr">
        <is>
          <t>Truck</t>
        </is>
      </c>
      <c r="F5" s="2" t="inlineStr">
        <is>
          <t>Annotator B</t>
        </is>
      </c>
      <c r="G5" s="2" t="inlineStr">
        <is>
          <t>Completed</t>
        </is>
      </c>
      <c r="H5" s="2" t="inlineStr">
        <is>
          <t>Pass</t>
        </is>
      </c>
      <c r="I5" s="2" t="inlineStr">
        <is>
          <t>Yes</t>
        </is>
      </c>
      <c r="J5" s="10" t="n">
        <v>0.85</v>
      </c>
      <c r="K5" s="2" t="inlineStr">
        <is>
          <t>Occluded object</t>
        </is>
      </c>
    </row>
    <row r="6">
      <c r="A6" s="2" t="inlineStr">
        <is>
          <t>T005</t>
        </is>
      </c>
      <c r="B6" s="9" t="n">
        <v>46298</v>
      </c>
      <c r="C6" s="2" t="inlineStr">
        <is>
          <t>SC002</t>
        </is>
      </c>
      <c r="D6" s="2" t="inlineStr">
        <is>
          <t>OBJ0005</t>
        </is>
      </c>
      <c r="E6" s="2" t="inlineStr">
        <is>
          <t>Truck</t>
        </is>
      </c>
      <c r="F6" s="2" t="inlineStr">
        <is>
          <t>Annotator B</t>
        </is>
      </c>
      <c r="G6" s="2" t="inlineStr">
        <is>
          <t>Completed</t>
        </is>
      </c>
      <c r="H6" s="2" t="inlineStr">
        <is>
          <t>Pass</t>
        </is>
      </c>
      <c r="I6" s="2" t="inlineStr">
        <is>
          <t>No</t>
        </is>
      </c>
      <c r="J6" s="10" t="n">
        <v>0.88</v>
      </c>
      <c r="K6" s="2" t="inlineStr">
        <is>
          <t>Check box alignment</t>
        </is>
      </c>
    </row>
    <row r="7">
      <c r="A7" s="2" t="inlineStr">
        <is>
          <t>T006</t>
        </is>
      </c>
      <c r="B7" s="9" t="n">
        <v>46310</v>
      </c>
      <c r="C7" s="2" t="inlineStr">
        <is>
          <t>SC012</t>
        </is>
      </c>
      <c r="D7" s="2" t="inlineStr">
        <is>
          <t>OBJ0006</t>
        </is>
      </c>
      <c r="E7" s="2" t="inlineStr">
        <is>
          <t>Traffic Light</t>
        </is>
      </c>
      <c r="F7" s="2" t="inlineStr">
        <is>
          <t>Annotator C</t>
        </is>
      </c>
      <c r="G7" s="2" t="inlineStr">
        <is>
          <t>Completed</t>
        </is>
      </c>
      <c r="H7" s="2" t="inlineStr">
        <is>
          <t>Pass</t>
        </is>
      </c>
      <c r="I7" s="2" t="inlineStr">
        <is>
          <t>Yes</t>
        </is>
      </c>
      <c r="J7" s="10" t="n">
        <v>0.92</v>
      </c>
      <c r="K7" s="2" t="inlineStr">
        <is>
          <t>Occluded object</t>
        </is>
      </c>
    </row>
    <row r="8">
      <c r="A8" s="2" t="inlineStr">
        <is>
          <t>T007</t>
        </is>
      </c>
      <c r="B8" s="9" t="n">
        <v>46312</v>
      </c>
      <c r="C8" s="2" t="inlineStr">
        <is>
          <t>SC016</t>
        </is>
      </c>
      <c r="D8" s="2" t="inlineStr">
        <is>
          <t>OBJ0007</t>
        </is>
      </c>
      <c r="E8" s="2" t="inlineStr">
        <is>
          <t>Traffic Light</t>
        </is>
      </c>
      <c r="F8" s="2" t="inlineStr">
        <is>
          <t>Annotator C</t>
        </is>
      </c>
      <c r="G8" s="2" t="inlineStr">
        <is>
          <t>Completed</t>
        </is>
      </c>
      <c r="H8" s="2" t="inlineStr">
        <is>
          <t>Pass</t>
        </is>
      </c>
      <c r="I8" s="2" t="inlineStr">
        <is>
          <t>No</t>
        </is>
      </c>
      <c r="J8" s="10" t="n">
        <v>0.75</v>
      </c>
      <c r="K8" s="2" t="inlineStr"/>
    </row>
    <row r="9">
      <c r="A9" s="2" t="inlineStr">
        <is>
          <t>T008</t>
        </is>
      </c>
      <c r="B9" s="9" t="n">
        <v>46306</v>
      </c>
      <c r="C9" s="2" t="inlineStr">
        <is>
          <t>SC005</t>
        </is>
      </c>
      <c r="D9" s="2" t="inlineStr">
        <is>
          <t>OBJ0008</t>
        </is>
      </c>
      <c r="E9" s="2" t="inlineStr">
        <is>
          <t>Car</t>
        </is>
      </c>
      <c r="F9" s="2" t="inlineStr">
        <is>
          <t>Annotator D</t>
        </is>
      </c>
      <c r="G9" s="2" t="inlineStr">
        <is>
          <t>Completed</t>
        </is>
      </c>
      <c r="H9" s="2" t="inlineStr">
        <is>
          <t>Pass</t>
        </is>
      </c>
      <c r="I9" s="2" t="inlineStr">
        <is>
          <t>No</t>
        </is>
      </c>
      <c r="J9" s="10" t="n">
        <v>0.66</v>
      </c>
      <c r="K9" s="2" t="inlineStr">
        <is>
          <t>Occluded object</t>
        </is>
      </c>
    </row>
    <row r="10">
      <c r="A10" s="2" t="inlineStr">
        <is>
          <t>T009</t>
        </is>
      </c>
      <c r="B10" s="9" t="n">
        <v>46322</v>
      </c>
      <c r="C10" s="2" t="inlineStr">
        <is>
          <t>SC011</t>
        </is>
      </c>
      <c r="D10" s="2" t="inlineStr">
        <is>
          <t>OBJ0009</t>
        </is>
      </c>
      <c r="E10" s="2" t="inlineStr">
        <is>
          <t>Car</t>
        </is>
      </c>
      <c r="F10" s="2" t="inlineStr">
        <is>
          <t>Annotator C</t>
        </is>
      </c>
      <c r="G10" s="2" t="inlineStr">
        <is>
          <t>Pending</t>
        </is>
      </c>
      <c r="H10" s="2" t="inlineStr">
        <is>
          <t>Pass</t>
        </is>
      </c>
      <c r="I10" s="2" t="inlineStr">
        <is>
          <t>No</t>
        </is>
      </c>
      <c r="J10" s="10" t="n">
        <v>0.85</v>
      </c>
      <c r="K10" s="2" t="inlineStr">
        <is>
          <t>Verify object class</t>
        </is>
      </c>
    </row>
    <row r="11">
      <c r="A11" s="2" t="inlineStr">
        <is>
          <t>T010</t>
        </is>
      </c>
      <c r="B11" s="9" t="n">
        <v>46304</v>
      </c>
      <c r="C11" s="2" t="inlineStr">
        <is>
          <t>SC016</t>
        </is>
      </c>
      <c r="D11" s="2" t="inlineStr">
        <is>
          <t>OBJ0010</t>
        </is>
      </c>
      <c r="E11" s="2" t="inlineStr">
        <is>
          <t>Traffic Light</t>
        </is>
      </c>
      <c r="F11" s="2" t="inlineStr">
        <is>
          <t>Annotator A</t>
        </is>
      </c>
      <c r="G11" s="2" t="inlineStr">
        <is>
          <t>Completed</t>
        </is>
      </c>
      <c r="H11" s="2" t="inlineStr">
        <is>
          <t>Major Error</t>
        </is>
      </c>
      <c r="I11" s="2" t="inlineStr">
        <is>
          <t>Yes</t>
        </is>
      </c>
      <c r="J11" s="10" t="n">
        <v>0.9</v>
      </c>
      <c r="K11" s="2" t="inlineStr"/>
    </row>
    <row r="12">
      <c r="A12" s="2" t="inlineStr">
        <is>
          <t>T011</t>
        </is>
      </c>
      <c r="B12" s="9" t="n">
        <v>46310</v>
      </c>
      <c r="C12" s="2" t="inlineStr">
        <is>
          <t>SC010</t>
        </is>
      </c>
      <c r="D12" s="2" t="inlineStr">
        <is>
          <t>OBJ0011</t>
        </is>
      </c>
      <c r="E12" s="2" t="inlineStr">
        <is>
          <t>Traffic Sign</t>
        </is>
      </c>
      <c r="F12" s="2" t="inlineStr">
        <is>
          <t>Annotator D</t>
        </is>
      </c>
      <c r="G12" s="2" t="inlineStr">
        <is>
          <t>Completed</t>
        </is>
      </c>
      <c r="H12" s="2" t="inlineStr">
        <is>
          <t>Minor Error</t>
        </is>
      </c>
      <c r="I12" s="2" t="inlineStr">
        <is>
          <t>No</t>
        </is>
      </c>
      <c r="J12" s="10" t="n">
        <v>0.66</v>
      </c>
      <c r="K12" s="2" t="inlineStr">
        <is>
          <t>Check box alignment</t>
        </is>
      </c>
    </row>
    <row r="13">
      <c r="A13" s="2" t="inlineStr">
        <is>
          <t>T012</t>
        </is>
      </c>
      <c r="B13" s="9" t="n">
        <v>46297</v>
      </c>
      <c r="C13" s="2" t="inlineStr">
        <is>
          <t>SC007</t>
        </is>
      </c>
      <c r="D13" s="2" t="inlineStr">
        <is>
          <t>OBJ0012</t>
        </is>
      </c>
      <c r="E13" s="2" t="inlineStr">
        <is>
          <t>Pedestrian</t>
        </is>
      </c>
      <c r="F13" s="2" t="inlineStr">
        <is>
          <t>Annotator C</t>
        </is>
      </c>
      <c r="G13" s="2" t="inlineStr">
        <is>
          <t>Completed</t>
        </is>
      </c>
      <c r="H13" s="2" t="inlineStr">
        <is>
          <t>Pass</t>
        </is>
      </c>
      <c r="I13" s="2" t="inlineStr">
        <is>
          <t>Yes</t>
        </is>
      </c>
      <c r="J13" s="10" t="n">
        <v>0.9</v>
      </c>
      <c r="K13" s="2" t="inlineStr">
        <is>
          <t>Check box alignment</t>
        </is>
      </c>
    </row>
    <row r="14">
      <c r="A14" s="2" t="inlineStr">
        <is>
          <t>T013</t>
        </is>
      </c>
      <c r="B14" s="9" t="n">
        <v>46310</v>
      </c>
      <c r="C14" s="2" t="inlineStr">
        <is>
          <t>SC013</t>
        </is>
      </c>
      <c r="D14" s="2" t="inlineStr">
        <is>
          <t>OBJ0013</t>
        </is>
      </c>
      <c r="E14" s="2" t="inlineStr">
        <is>
          <t>Bicycle</t>
        </is>
      </c>
      <c r="F14" s="2" t="inlineStr">
        <is>
          <t>Annotator C</t>
        </is>
      </c>
      <c r="G14" s="2" t="inlineStr">
        <is>
          <t>Rejected</t>
        </is>
      </c>
      <c r="H14" s="2" t="inlineStr">
        <is>
          <t>Major Error</t>
        </is>
      </c>
      <c r="I14" s="2" t="inlineStr">
        <is>
          <t>Yes</t>
        </is>
      </c>
      <c r="J14" s="10" t="n">
        <v>0.93</v>
      </c>
      <c r="K14" s="2" t="inlineStr">
        <is>
          <t>Missing attributes</t>
        </is>
      </c>
    </row>
    <row r="15">
      <c r="A15" s="2" t="inlineStr">
        <is>
          <t>T014</t>
        </is>
      </c>
      <c r="B15" s="9" t="n">
        <v>46307</v>
      </c>
      <c r="C15" s="2" t="inlineStr">
        <is>
          <t>SC013</t>
        </is>
      </c>
      <c r="D15" s="2" t="inlineStr">
        <is>
          <t>OBJ0014</t>
        </is>
      </c>
      <c r="E15" s="2" t="inlineStr">
        <is>
          <t>Motorcycle</t>
        </is>
      </c>
      <c r="F15" s="2" t="inlineStr">
        <is>
          <t>Annotator B</t>
        </is>
      </c>
      <c r="G15" s="2" t="inlineStr">
        <is>
          <t>Completed</t>
        </is>
      </c>
      <c r="H15" s="2" t="inlineStr">
        <is>
          <t>Pass</t>
        </is>
      </c>
      <c r="I15" s="2" t="inlineStr">
        <is>
          <t>Yes</t>
        </is>
      </c>
      <c r="J15" s="10" t="n">
        <v>0.68</v>
      </c>
      <c r="K15" s="2" t="inlineStr"/>
    </row>
    <row r="16">
      <c r="A16" s="2" t="inlineStr">
        <is>
          <t>T015</t>
        </is>
      </c>
      <c r="B16" s="9" t="n">
        <v>46322</v>
      </c>
      <c r="C16" s="2" t="inlineStr">
        <is>
          <t>SC006</t>
        </is>
      </c>
      <c r="D16" s="2" t="inlineStr">
        <is>
          <t>OBJ0015</t>
        </is>
      </c>
      <c r="E16" s="2" t="inlineStr">
        <is>
          <t>Truck</t>
        </is>
      </c>
      <c r="F16" s="2" t="inlineStr">
        <is>
          <t>Annotator C</t>
        </is>
      </c>
      <c r="G16" s="2" t="inlineStr">
        <is>
          <t>In Review</t>
        </is>
      </c>
      <c r="H16" s="2" t="inlineStr">
        <is>
          <t>Pass</t>
        </is>
      </c>
      <c r="I16" s="2" t="inlineStr">
        <is>
          <t>No</t>
        </is>
      </c>
      <c r="J16" s="10" t="n">
        <v>0.65</v>
      </c>
      <c r="K16" s="2" t="inlineStr">
        <is>
          <t>Check box alignment</t>
        </is>
      </c>
    </row>
    <row r="17">
      <c r="A17" s="2" t="inlineStr">
        <is>
          <t>T016</t>
        </is>
      </c>
      <c r="B17" s="9" t="n">
        <v>46300</v>
      </c>
      <c r="C17" s="2" t="inlineStr">
        <is>
          <t>SC017</t>
        </is>
      </c>
      <c r="D17" s="2" t="inlineStr">
        <is>
          <t>OBJ0016</t>
        </is>
      </c>
      <c r="E17" s="2" t="inlineStr">
        <is>
          <t>Motorcycle</t>
        </is>
      </c>
      <c r="F17" s="2" t="inlineStr">
        <is>
          <t>Annotator A</t>
        </is>
      </c>
      <c r="G17" s="2" t="inlineStr">
        <is>
          <t>Completed</t>
        </is>
      </c>
      <c r="H17" s="2" t="inlineStr">
        <is>
          <t>Pass</t>
        </is>
      </c>
      <c r="I17" s="2" t="inlineStr">
        <is>
          <t>No</t>
        </is>
      </c>
      <c r="J17" s="10" t="n">
        <v>0.96</v>
      </c>
      <c r="K17" s="2" t="inlineStr">
        <is>
          <t>Missing attributes</t>
        </is>
      </c>
    </row>
    <row r="18">
      <c r="A18" s="2" t="inlineStr">
        <is>
          <t>T017</t>
        </is>
      </c>
      <c r="B18" s="9" t="n">
        <v>46308</v>
      </c>
      <c r="C18" s="2" t="inlineStr">
        <is>
          <t>SC013</t>
        </is>
      </c>
      <c r="D18" s="2" t="inlineStr">
        <is>
          <t>OBJ0017</t>
        </is>
      </c>
      <c r="E18" s="2" t="inlineStr">
        <is>
          <t>Traffic Light</t>
        </is>
      </c>
      <c r="F18" s="2" t="inlineStr">
        <is>
          <t>Annotator D</t>
        </is>
      </c>
      <c r="G18" s="2" t="inlineStr">
        <is>
          <t>In Review</t>
        </is>
      </c>
      <c r="H18" s="2" t="inlineStr">
        <is>
          <t>Pass</t>
        </is>
      </c>
      <c r="I18" s="2" t="inlineStr">
        <is>
          <t>Yes</t>
        </is>
      </c>
      <c r="J18" s="10" t="n">
        <v>0.8100000000000001</v>
      </c>
      <c r="K18" s="2" t="inlineStr">
        <is>
          <t>Check box alignment</t>
        </is>
      </c>
    </row>
    <row r="19">
      <c r="A19" s="2" t="inlineStr">
        <is>
          <t>T018</t>
        </is>
      </c>
      <c r="B19" s="9" t="n">
        <v>46310</v>
      </c>
      <c r="C19" s="2" t="inlineStr">
        <is>
          <t>SC006</t>
        </is>
      </c>
      <c r="D19" s="2" t="inlineStr">
        <is>
          <t>OBJ0018</t>
        </is>
      </c>
      <c r="E19" s="2" t="inlineStr">
        <is>
          <t>Car</t>
        </is>
      </c>
      <c r="F19" s="2" t="inlineStr">
        <is>
          <t>Annotator A</t>
        </is>
      </c>
      <c r="G19" s="2" t="inlineStr">
        <is>
          <t>Completed</t>
        </is>
      </c>
      <c r="H19" s="2" t="inlineStr">
        <is>
          <t>Needs Review</t>
        </is>
      </c>
      <c r="I19" s="2" t="inlineStr">
        <is>
          <t>No</t>
        </is>
      </c>
      <c r="J19" s="10" t="n">
        <v>0.85</v>
      </c>
      <c r="K19" s="2" t="inlineStr"/>
    </row>
    <row r="20">
      <c r="A20" s="2" t="inlineStr">
        <is>
          <t>T019</t>
        </is>
      </c>
      <c r="B20" s="9" t="n">
        <v>46307</v>
      </c>
      <c r="C20" s="2" t="inlineStr">
        <is>
          <t>SC001</t>
        </is>
      </c>
      <c r="D20" s="2" t="inlineStr">
        <is>
          <t>OBJ0019</t>
        </is>
      </c>
      <c r="E20" s="2" t="inlineStr">
        <is>
          <t>Car</t>
        </is>
      </c>
      <c r="F20" s="2" t="inlineStr">
        <is>
          <t>Annotator A</t>
        </is>
      </c>
      <c r="G20" s="2" t="inlineStr">
        <is>
          <t>Completed</t>
        </is>
      </c>
      <c r="H20" s="2" t="inlineStr">
        <is>
          <t>Pass</t>
        </is>
      </c>
      <c r="I20" s="2" t="inlineStr">
        <is>
          <t>Yes</t>
        </is>
      </c>
      <c r="J20" s="10" t="n">
        <v>0.86</v>
      </c>
      <c r="K20" s="2" t="inlineStr"/>
    </row>
    <row r="21">
      <c r="A21" s="2" t="inlineStr">
        <is>
          <t>T020</t>
        </is>
      </c>
      <c r="B21" s="9" t="n">
        <v>46307</v>
      </c>
      <c r="C21" s="2" t="inlineStr">
        <is>
          <t>SC016</t>
        </is>
      </c>
      <c r="D21" s="2" t="inlineStr">
        <is>
          <t>OBJ0020</t>
        </is>
      </c>
      <c r="E21" s="2" t="inlineStr">
        <is>
          <t>Traffic Sign</t>
        </is>
      </c>
      <c r="F21" s="2" t="inlineStr">
        <is>
          <t>Annotator A</t>
        </is>
      </c>
      <c r="G21" s="2" t="inlineStr">
        <is>
          <t>Completed</t>
        </is>
      </c>
      <c r="H21" s="2" t="inlineStr">
        <is>
          <t>Pass</t>
        </is>
      </c>
      <c r="I21" s="2" t="inlineStr">
        <is>
          <t>Yes</t>
        </is>
      </c>
      <c r="J21" s="10" t="n">
        <v>0.9399999999999999</v>
      </c>
      <c r="K21" s="2" t="inlineStr">
        <is>
          <t>Check box alignment</t>
        </is>
      </c>
    </row>
    <row r="22">
      <c r="A22" s="2" t="inlineStr">
        <is>
          <t>T021</t>
        </is>
      </c>
      <c r="B22" s="9" t="n">
        <v>46299</v>
      </c>
      <c r="C22" s="2" t="inlineStr">
        <is>
          <t>SC011</t>
        </is>
      </c>
      <c r="D22" s="2" t="inlineStr">
        <is>
          <t>OBJ0021</t>
        </is>
      </c>
      <c r="E22" s="2" t="inlineStr">
        <is>
          <t>Bicycle</t>
        </is>
      </c>
      <c r="F22" s="2" t="inlineStr">
        <is>
          <t>Annotator C</t>
        </is>
      </c>
      <c r="G22" s="2" t="inlineStr">
        <is>
          <t>Completed</t>
        </is>
      </c>
      <c r="H22" s="2" t="inlineStr">
        <is>
          <t>Pass</t>
        </is>
      </c>
      <c r="I22" s="2" t="inlineStr">
        <is>
          <t>No</t>
        </is>
      </c>
      <c r="J22" s="10" t="n">
        <v>0.93</v>
      </c>
      <c r="K22" s="2" t="inlineStr"/>
    </row>
    <row r="23">
      <c r="A23" s="2" t="inlineStr">
        <is>
          <t>T022</t>
        </is>
      </c>
      <c r="B23" s="9" t="n">
        <v>46312</v>
      </c>
      <c r="C23" s="2" t="inlineStr">
        <is>
          <t>SC012</t>
        </is>
      </c>
      <c r="D23" s="2" t="inlineStr">
        <is>
          <t>OBJ0022</t>
        </is>
      </c>
      <c r="E23" s="2" t="inlineStr">
        <is>
          <t>Motorcycle</t>
        </is>
      </c>
      <c r="F23" s="2" t="inlineStr">
        <is>
          <t>Annotator B</t>
        </is>
      </c>
      <c r="G23" s="2" t="inlineStr">
        <is>
          <t>Completed</t>
        </is>
      </c>
      <c r="H23" s="2" t="inlineStr">
        <is>
          <t>Needs Review</t>
        </is>
      </c>
      <c r="I23" s="2" t="inlineStr">
        <is>
          <t>Yes</t>
        </is>
      </c>
      <c r="J23" s="10" t="n">
        <v>0.91</v>
      </c>
      <c r="K23" s="2" t="inlineStr"/>
    </row>
    <row r="24">
      <c r="A24" s="2" t="inlineStr">
        <is>
          <t>T023</t>
        </is>
      </c>
      <c r="B24" s="9" t="n">
        <v>46304</v>
      </c>
      <c r="C24" s="2" t="inlineStr">
        <is>
          <t>SC017</t>
        </is>
      </c>
      <c r="D24" s="2" t="inlineStr">
        <is>
          <t>OBJ0023</t>
        </is>
      </c>
      <c r="E24" s="2" t="inlineStr">
        <is>
          <t>Traffic Sign</t>
        </is>
      </c>
      <c r="F24" s="2" t="inlineStr">
        <is>
          <t>Annotator C</t>
        </is>
      </c>
      <c r="G24" s="2" t="inlineStr">
        <is>
          <t>Pending</t>
        </is>
      </c>
      <c r="H24" s="2" t="inlineStr">
        <is>
          <t>Minor Error</t>
        </is>
      </c>
      <c r="I24" s="2" t="inlineStr">
        <is>
          <t>Yes</t>
        </is>
      </c>
      <c r="J24" s="10" t="n">
        <v>0.77</v>
      </c>
      <c r="K24" s="2" t="inlineStr"/>
    </row>
    <row r="25">
      <c r="A25" s="2" t="inlineStr">
        <is>
          <t>T024</t>
        </is>
      </c>
      <c r="B25" s="9" t="n">
        <v>46316</v>
      </c>
      <c r="C25" s="2" t="inlineStr">
        <is>
          <t>SC008</t>
        </is>
      </c>
      <c r="D25" s="2" t="inlineStr">
        <is>
          <t>OBJ0024</t>
        </is>
      </c>
      <c r="E25" s="2" t="inlineStr">
        <is>
          <t>Motorcycle</t>
        </is>
      </c>
      <c r="F25" s="2" t="inlineStr">
        <is>
          <t>Annotator B</t>
        </is>
      </c>
      <c r="G25" s="2" t="inlineStr">
        <is>
          <t>Completed</t>
        </is>
      </c>
      <c r="H25" s="2" t="inlineStr">
        <is>
          <t>Pass</t>
        </is>
      </c>
      <c r="I25" s="2" t="inlineStr">
        <is>
          <t>Yes</t>
        </is>
      </c>
      <c r="J25" s="10" t="n">
        <v>0.93</v>
      </c>
      <c r="K25" s="2" t="inlineStr">
        <is>
          <t>Occluded object</t>
        </is>
      </c>
    </row>
    <row r="26">
      <c r="A26" s="2" t="inlineStr">
        <is>
          <t>T025</t>
        </is>
      </c>
      <c r="B26" s="9" t="n">
        <v>46307</v>
      </c>
      <c r="C26" s="2" t="inlineStr">
        <is>
          <t>SC001</t>
        </is>
      </c>
      <c r="D26" s="2" t="inlineStr">
        <is>
          <t>OBJ0025</t>
        </is>
      </c>
      <c r="E26" s="2" t="inlineStr">
        <is>
          <t>Traffic Light</t>
        </is>
      </c>
      <c r="F26" s="2" t="inlineStr">
        <is>
          <t>Annotator A</t>
        </is>
      </c>
      <c r="G26" s="2" t="inlineStr">
        <is>
          <t>Completed</t>
        </is>
      </c>
      <c r="H26" s="2" t="inlineStr">
        <is>
          <t>Pass</t>
        </is>
      </c>
      <c r="I26" s="2" t="inlineStr">
        <is>
          <t>No</t>
        </is>
      </c>
      <c r="J26" s="10" t="n">
        <v>0.8100000000000001</v>
      </c>
      <c r="K26" s="2" t="inlineStr"/>
    </row>
    <row r="27">
      <c r="A27" s="2" t="inlineStr">
        <is>
          <t>T026</t>
        </is>
      </c>
      <c r="B27" s="9" t="n">
        <v>46321</v>
      </c>
      <c r="C27" s="2" t="inlineStr">
        <is>
          <t>SC012</t>
        </is>
      </c>
      <c r="D27" s="2" t="inlineStr">
        <is>
          <t>OBJ0026</t>
        </is>
      </c>
      <c r="E27" s="2" t="inlineStr">
        <is>
          <t>Traffic Sign</t>
        </is>
      </c>
      <c r="F27" s="2" t="inlineStr">
        <is>
          <t>Annotator C</t>
        </is>
      </c>
      <c r="G27" s="2" t="inlineStr">
        <is>
          <t>In Review</t>
        </is>
      </c>
      <c r="H27" s="2" t="inlineStr">
        <is>
          <t>Pass</t>
        </is>
      </c>
      <c r="I27" s="2" t="inlineStr">
        <is>
          <t>Yes</t>
        </is>
      </c>
      <c r="J27" s="10" t="n">
        <v>0.72</v>
      </c>
      <c r="K27" s="2" t="inlineStr"/>
    </row>
    <row r="28">
      <c r="A28" s="2" t="inlineStr">
        <is>
          <t>T027</t>
        </is>
      </c>
      <c r="B28" s="9" t="n">
        <v>46315</v>
      </c>
      <c r="C28" s="2" t="inlineStr">
        <is>
          <t>SC001</t>
        </is>
      </c>
      <c r="D28" s="2" t="inlineStr">
        <is>
          <t>OBJ0027</t>
        </is>
      </c>
      <c r="E28" s="2" t="inlineStr">
        <is>
          <t>Bicycle</t>
        </is>
      </c>
      <c r="F28" s="2" t="inlineStr">
        <is>
          <t>Annotator D</t>
        </is>
      </c>
      <c r="G28" s="2" t="inlineStr">
        <is>
          <t>Completed</t>
        </is>
      </c>
      <c r="H28" s="2" t="inlineStr">
        <is>
          <t>Pass</t>
        </is>
      </c>
      <c r="I28" s="2" t="inlineStr">
        <is>
          <t>No</t>
        </is>
      </c>
      <c r="J28" s="10" t="n">
        <v>0.92</v>
      </c>
      <c r="K28" s="2" t="inlineStr"/>
    </row>
    <row r="29">
      <c r="A29" s="2" t="inlineStr">
        <is>
          <t>T028</t>
        </is>
      </c>
      <c r="B29" s="9" t="n">
        <v>46321</v>
      </c>
      <c r="C29" s="2" t="inlineStr">
        <is>
          <t>SC007</t>
        </is>
      </c>
      <c r="D29" s="2" t="inlineStr">
        <is>
          <t>OBJ0028</t>
        </is>
      </c>
      <c r="E29" s="2" t="inlineStr">
        <is>
          <t>Traffic Light</t>
        </is>
      </c>
      <c r="F29" s="2" t="inlineStr">
        <is>
          <t>Annotator D</t>
        </is>
      </c>
      <c r="G29" s="2" t="inlineStr">
        <is>
          <t>In Review</t>
        </is>
      </c>
      <c r="H29" s="2" t="inlineStr">
        <is>
          <t>Needs Review</t>
        </is>
      </c>
      <c r="I29" s="2" t="inlineStr">
        <is>
          <t>Yes</t>
        </is>
      </c>
      <c r="J29" s="10" t="n">
        <v>0.8</v>
      </c>
      <c r="K29" s="2" t="inlineStr">
        <is>
          <t>Occluded object</t>
        </is>
      </c>
    </row>
    <row r="30">
      <c r="A30" s="2" t="inlineStr">
        <is>
          <t>T029</t>
        </is>
      </c>
      <c r="B30" s="9" t="n">
        <v>46319</v>
      </c>
      <c r="C30" s="2" t="inlineStr">
        <is>
          <t>SC013</t>
        </is>
      </c>
      <c r="D30" s="2" t="inlineStr">
        <is>
          <t>OBJ0029</t>
        </is>
      </c>
      <c r="E30" s="2" t="inlineStr">
        <is>
          <t>Pedestrian</t>
        </is>
      </c>
      <c r="F30" s="2" t="inlineStr">
        <is>
          <t>Annotator D</t>
        </is>
      </c>
      <c r="G30" s="2" t="inlineStr">
        <is>
          <t>Completed</t>
        </is>
      </c>
      <c r="H30" s="2" t="inlineStr">
        <is>
          <t>Needs Review</t>
        </is>
      </c>
      <c r="I30" s="2" t="inlineStr">
        <is>
          <t>No</t>
        </is>
      </c>
      <c r="J30" s="10" t="n">
        <v>0.9</v>
      </c>
      <c r="K30" s="2" t="inlineStr"/>
    </row>
    <row r="31">
      <c r="A31" s="2" t="inlineStr">
        <is>
          <t>T030</t>
        </is>
      </c>
      <c r="B31" s="9" t="n">
        <v>46296</v>
      </c>
      <c r="C31" s="2" t="inlineStr">
        <is>
          <t>SC005</t>
        </is>
      </c>
      <c r="D31" s="2" t="inlineStr">
        <is>
          <t>OBJ0030</t>
        </is>
      </c>
      <c r="E31" s="2" t="inlineStr">
        <is>
          <t>Traffic Sign</t>
        </is>
      </c>
      <c r="F31" s="2" t="inlineStr">
        <is>
          <t>Annotator D</t>
        </is>
      </c>
      <c r="G31" s="2" t="inlineStr">
        <is>
          <t>Completed</t>
        </is>
      </c>
      <c r="H31" s="2" t="inlineStr">
        <is>
          <t>Needs Review</t>
        </is>
      </c>
      <c r="I31" s="2" t="inlineStr">
        <is>
          <t>Yes</t>
        </is>
      </c>
      <c r="J31" s="10" t="n">
        <v>0.86</v>
      </c>
      <c r="K31" s="2" t="inlineStr">
        <is>
          <t>Verify object class</t>
        </is>
      </c>
    </row>
    <row r="32">
      <c r="A32" s="2" t="inlineStr">
        <is>
          <t>T031</t>
        </is>
      </c>
      <c r="B32" s="9" t="n">
        <v>46313</v>
      </c>
      <c r="C32" s="2" t="inlineStr">
        <is>
          <t>SC018</t>
        </is>
      </c>
      <c r="D32" s="2" t="inlineStr">
        <is>
          <t>OBJ0031</t>
        </is>
      </c>
      <c r="E32" s="2" t="inlineStr">
        <is>
          <t>Bicycle</t>
        </is>
      </c>
      <c r="F32" s="2" t="inlineStr">
        <is>
          <t>Annotator B</t>
        </is>
      </c>
      <c r="G32" s="2" t="inlineStr">
        <is>
          <t>In Review</t>
        </is>
      </c>
      <c r="H32" s="2" t="inlineStr">
        <is>
          <t>Pass</t>
        </is>
      </c>
      <c r="I32" s="2" t="inlineStr">
        <is>
          <t>Yes</t>
        </is>
      </c>
      <c r="J32" s="10" t="n">
        <v>0.65</v>
      </c>
      <c r="K32" s="2" t="inlineStr">
        <is>
          <t>Occluded object</t>
        </is>
      </c>
    </row>
    <row r="33">
      <c r="A33" s="2" t="inlineStr">
        <is>
          <t>T032</t>
        </is>
      </c>
      <c r="B33" s="9" t="n">
        <v>46300</v>
      </c>
      <c r="C33" s="2" t="inlineStr">
        <is>
          <t>SC014</t>
        </is>
      </c>
      <c r="D33" s="2" t="inlineStr">
        <is>
          <t>OBJ0032</t>
        </is>
      </c>
      <c r="E33" s="2" t="inlineStr">
        <is>
          <t>Traffic Sign</t>
        </is>
      </c>
      <c r="F33" s="2" t="inlineStr">
        <is>
          <t>Annotator B</t>
        </is>
      </c>
      <c r="G33" s="2" t="inlineStr">
        <is>
          <t>Completed</t>
        </is>
      </c>
      <c r="H33" s="2" t="inlineStr">
        <is>
          <t>Minor Error</t>
        </is>
      </c>
      <c r="I33" s="2" t="inlineStr">
        <is>
          <t>Yes</t>
        </is>
      </c>
      <c r="J33" s="10" t="n">
        <v>0.66</v>
      </c>
      <c r="K33" s="2" t="inlineStr"/>
    </row>
    <row r="34">
      <c r="A34" s="2" t="inlineStr">
        <is>
          <t>T033</t>
        </is>
      </c>
      <c r="B34" s="9" t="n">
        <v>46306</v>
      </c>
      <c r="C34" s="2" t="inlineStr">
        <is>
          <t>SC009</t>
        </is>
      </c>
      <c r="D34" s="2" t="inlineStr">
        <is>
          <t>OBJ0033</t>
        </is>
      </c>
      <c r="E34" s="2" t="inlineStr">
        <is>
          <t>Pedestrian</t>
        </is>
      </c>
      <c r="F34" s="2" t="inlineStr">
        <is>
          <t>Annotator D</t>
        </is>
      </c>
      <c r="G34" s="2" t="inlineStr">
        <is>
          <t>Completed</t>
        </is>
      </c>
      <c r="H34" s="2" t="inlineStr">
        <is>
          <t>Minor Error</t>
        </is>
      </c>
      <c r="I34" s="2" t="inlineStr">
        <is>
          <t>Yes</t>
        </is>
      </c>
      <c r="J34" s="10" t="n">
        <v>0.67</v>
      </c>
      <c r="K34" s="2" t="inlineStr">
        <is>
          <t>Occluded object</t>
        </is>
      </c>
    </row>
    <row r="35">
      <c r="A35" s="2" t="inlineStr">
        <is>
          <t>T034</t>
        </is>
      </c>
      <c r="B35" s="9" t="n">
        <v>46322</v>
      </c>
      <c r="C35" s="2" t="inlineStr">
        <is>
          <t>SC017</t>
        </is>
      </c>
      <c r="D35" s="2" t="inlineStr">
        <is>
          <t>OBJ0034</t>
        </is>
      </c>
      <c r="E35" s="2" t="inlineStr">
        <is>
          <t>Pedestrian</t>
        </is>
      </c>
      <c r="F35" s="2" t="inlineStr">
        <is>
          <t>Annotator D</t>
        </is>
      </c>
      <c r="G35" s="2" t="inlineStr">
        <is>
          <t>Pending</t>
        </is>
      </c>
      <c r="H35" s="2" t="inlineStr">
        <is>
          <t>Pass</t>
        </is>
      </c>
      <c r="I35" s="2" t="inlineStr">
        <is>
          <t>Yes</t>
        </is>
      </c>
      <c r="J35" s="10" t="n">
        <v>0.83</v>
      </c>
      <c r="K35" s="2" t="inlineStr">
        <is>
          <t>Verify object class</t>
        </is>
      </c>
    </row>
    <row r="36">
      <c r="A36" s="2" t="inlineStr">
        <is>
          <t>T035</t>
        </is>
      </c>
      <c r="B36" s="9" t="n">
        <v>46301</v>
      </c>
      <c r="C36" s="2" t="inlineStr">
        <is>
          <t>SC001</t>
        </is>
      </c>
      <c r="D36" s="2" t="inlineStr">
        <is>
          <t>OBJ0035</t>
        </is>
      </c>
      <c r="E36" s="2" t="inlineStr">
        <is>
          <t>Motorcycle</t>
        </is>
      </c>
      <c r="F36" s="2" t="inlineStr">
        <is>
          <t>Annotator B</t>
        </is>
      </c>
      <c r="G36" s="2" t="inlineStr">
        <is>
          <t>Completed</t>
        </is>
      </c>
      <c r="H36" s="2" t="inlineStr">
        <is>
          <t>Pass</t>
        </is>
      </c>
      <c r="I36" s="2" t="inlineStr">
        <is>
          <t>Yes</t>
        </is>
      </c>
      <c r="J36" s="10" t="n">
        <v>0.7</v>
      </c>
      <c r="K36" s="2" t="inlineStr">
        <is>
          <t>Verify object class</t>
        </is>
      </c>
    </row>
    <row r="37">
      <c r="A37" s="2" t="inlineStr">
        <is>
          <t>T036</t>
        </is>
      </c>
      <c r="B37" s="9" t="n">
        <v>46317</v>
      </c>
      <c r="C37" s="2" t="inlineStr">
        <is>
          <t>SC017</t>
        </is>
      </c>
      <c r="D37" s="2" t="inlineStr">
        <is>
          <t>OBJ0036</t>
        </is>
      </c>
      <c r="E37" s="2" t="inlineStr">
        <is>
          <t>Traffic Sign</t>
        </is>
      </c>
      <c r="F37" s="2" t="inlineStr">
        <is>
          <t>Annotator D</t>
        </is>
      </c>
      <c r="G37" s="2" t="inlineStr">
        <is>
          <t>Completed</t>
        </is>
      </c>
      <c r="H37" s="2" t="inlineStr">
        <is>
          <t>Pass</t>
        </is>
      </c>
      <c r="I37" s="2" t="inlineStr">
        <is>
          <t>Yes</t>
        </is>
      </c>
      <c r="J37" s="10" t="n">
        <v>0.95</v>
      </c>
      <c r="K37" s="2" t="inlineStr"/>
    </row>
    <row r="38">
      <c r="A38" s="2" t="inlineStr">
        <is>
          <t>T037</t>
        </is>
      </c>
      <c r="B38" s="9" t="n">
        <v>46299</v>
      </c>
      <c r="C38" s="2" t="inlineStr">
        <is>
          <t>SC017</t>
        </is>
      </c>
      <c r="D38" s="2" t="inlineStr">
        <is>
          <t>OBJ0037</t>
        </is>
      </c>
      <c r="E38" s="2" t="inlineStr">
        <is>
          <t>Truck</t>
        </is>
      </c>
      <c r="F38" s="2" t="inlineStr">
        <is>
          <t>Annotator D</t>
        </is>
      </c>
      <c r="G38" s="2" t="inlineStr">
        <is>
          <t>Completed</t>
        </is>
      </c>
      <c r="H38" s="2" t="inlineStr">
        <is>
          <t>Pass</t>
        </is>
      </c>
      <c r="I38" s="2" t="inlineStr">
        <is>
          <t>Yes</t>
        </is>
      </c>
      <c r="J38" s="10" t="n">
        <v>0.91</v>
      </c>
      <c r="K38" s="2" t="inlineStr"/>
    </row>
    <row r="39">
      <c r="A39" s="2" t="inlineStr">
        <is>
          <t>T038</t>
        </is>
      </c>
      <c r="B39" s="9" t="n">
        <v>46315</v>
      </c>
      <c r="C39" s="2" t="inlineStr">
        <is>
          <t>SC017</t>
        </is>
      </c>
      <c r="D39" s="2" t="inlineStr">
        <is>
          <t>OBJ0038</t>
        </is>
      </c>
      <c r="E39" s="2" t="inlineStr">
        <is>
          <t>Bicycle</t>
        </is>
      </c>
      <c r="F39" s="2" t="inlineStr">
        <is>
          <t>Annotator B</t>
        </is>
      </c>
      <c r="G39" s="2" t="inlineStr">
        <is>
          <t>Completed</t>
        </is>
      </c>
      <c r="H39" s="2" t="inlineStr">
        <is>
          <t>Needs Review</t>
        </is>
      </c>
      <c r="I39" s="2" t="inlineStr">
        <is>
          <t>No</t>
        </is>
      </c>
      <c r="J39" s="10" t="n">
        <v>0.8</v>
      </c>
      <c r="K39" s="2" t="inlineStr">
        <is>
          <t>Verify object class</t>
        </is>
      </c>
    </row>
    <row r="40">
      <c r="A40" s="2" t="inlineStr">
        <is>
          <t>T039</t>
        </is>
      </c>
      <c r="B40" s="9" t="n">
        <v>46318</v>
      </c>
      <c r="C40" s="2" t="inlineStr">
        <is>
          <t>SC017</t>
        </is>
      </c>
      <c r="D40" s="2" t="inlineStr">
        <is>
          <t>OBJ0039</t>
        </is>
      </c>
      <c r="E40" s="2" t="inlineStr">
        <is>
          <t>Traffic Light</t>
        </is>
      </c>
      <c r="F40" s="2" t="inlineStr">
        <is>
          <t>Annotator C</t>
        </is>
      </c>
      <c r="G40" s="2" t="inlineStr">
        <is>
          <t>Completed</t>
        </is>
      </c>
      <c r="H40" s="2" t="inlineStr">
        <is>
          <t>Needs Review</t>
        </is>
      </c>
      <c r="I40" s="2" t="inlineStr">
        <is>
          <t>Yes</t>
        </is>
      </c>
      <c r="J40" s="10" t="n">
        <v>0.9399999999999999</v>
      </c>
      <c r="K40" s="2" t="inlineStr"/>
    </row>
    <row r="41">
      <c r="A41" s="2" t="inlineStr">
        <is>
          <t>T040</t>
        </is>
      </c>
      <c r="B41" s="9" t="n">
        <v>46298</v>
      </c>
      <c r="C41" s="2" t="inlineStr">
        <is>
          <t>SC008</t>
        </is>
      </c>
      <c r="D41" s="2" t="inlineStr">
        <is>
          <t>OBJ0040</t>
        </is>
      </c>
      <c r="E41" s="2" t="inlineStr">
        <is>
          <t>Bicycle</t>
        </is>
      </c>
      <c r="F41" s="2" t="inlineStr">
        <is>
          <t>Annotator D</t>
        </is>
      </c>
      <c r="G41" s="2" t="inlineStr">
        <is>
          <t>Completed</t>
        </is>
      </c>
      <c r="H41" s="2" t="inlineStr">
        <is>
          <t>Pass</t>
        </is>
      </c>
      <c r="I41" s="2" t="inlineStr">
        <is>
          <t>Yes</t>
        </is>
      </c>
      <c r="J41" s="10" t="n">
        <v>0.72</v>
      </c>
      <c r="K41" s="2" t="inlineStr"/>
    </row>
    <row r="42">
      <c r="A42" s="2" t="inlineStr">
        <is>
          <t>T041</t>
        </is>
      </c>
      <c r="B42" s="9" t="n">
        <v>46318</v>
      </c>
      <c r="C42" s="2" t="inlineStr">
        <is>
          <t>SC012</t>
        </is>
      </c>
      <c r="D42" s="2" t="inlineStr">
        <is>
          <t>OBJ0041</t>
        </is>
      </c>
      <c r="E42" s="2" t="inlineStr">
        <is>
          <t>Traffic Light</t>
        </is>
      </c>
      <c r="F42" s="2" t="inlineStr">
        <is>
          <t>Annotator B</t>
        </is>
      </c>
      <c r="G42" s="2" t="inlineStr">
        <is>
          <t>Completed</t>
        </is>
      </c>
      <c r="H42" s="2" t="inlineStr">
        <is>
          <t>Minor Error</t>
        </is>
      </c>
      <c r="I42" s="2" t="inlineStr">
        <is>
          <t>No</t>
        </is>
      </c>
      <c r="J42" s="10" t="n">
        <v>0.95</v>
      </c>
      <c r="K42" s="2" t="inlineStr">
        <is>
          <t>Check box alignment</t>
        </is>
      </c>
    </row>
    <row r="43">
      <c r="A43" s="2" t="inlineStr">
        <is>
          <t>T042</t>
        </is>
      </c>
      <c r="B43" s="9" t="n">
        <v>46311</v>
      </c>
      <c r="C43" s="2" t="inlineStr">
        <is>
          <t>SC006</t>
        </is>
      </c>
      <c r="D43" s="2" t="inlineStr">
        <is>
          <t>OBJ0042</t>
        </is>
      </c>
      <c r="E43" s="2" t="inlineStr">
        <is>
          <t>Truck</t>
        </is>
      </c>
      <c r="F43" s="2" t="inlineStr">
        <is>
          <t>Annotator B</t>
        </is>
      </c>
      <c r="G43" s="2" t="inlineStr">
        <is>
          <t>In Review</t>
        </is>
      </c>
      <c r="H43" s="2" t="inlineStr">
        <is>
          <t>Pass</t>
        </is>
      </c>
      <c r="I43" s="2" t="inlineStr">
        <is>
          <t>Yes</t>
        </is>
      </c>
      <c r="J43" s="10" t="n">
        <v>0.89</v>
      </c>
      <c r="K43" s="2" t="inlineStr">
        <is>
          <t>Verify object class</t>
        </is>
      </c>
    </row>
    <row r="44">
      <c r="A44" s="2" t="inlineStr">
        <is>
          <t>T043</t>
        </is>
      </c>
      <c r="B44" s="9" t="n">
        <v>46306</v>
      </c>
      <c r="C44" s="2" t="inlineStr">
        <is>
          <t>SC003</t>
        </is>
      </c>
      <c r="D44" s="2" t="inlineStr">
        <is>
          <t>OBJ0043</t>
        </is>
      </c>
      <c r="E44" s="2" t="inlineStr">
        <is>
          <t>Bicycle</t>
        </is>
      </c>
      <c r="F44" s="2" t="inlineStr">
        <is>
          <t>Annotator C</t>
        </is>
      </c>
      <c r="G44" s="2" t="inlineStr">
        <is>
          <t>Completed</t>
        </is>
      </c>
      <c r="H44" s="2" t="inlineStr">
        <is>
          <t>Pass</t>
        </is>
      </c>
      <c r="I44" s="2" t="inlineStr">
        <is>
          <t>Yes</t>
        </is>
      </c>
      <c r="J44" s="10" t="n">
        <v>0.76</v>
      </c>
      <c r="K44" s="2" t="inlineStr">
        <is>
          <t>Check box alignment</t>
        </is>
      </c>
    </row>
    <row r="45">
      <c r="A45" s="2" t="inlineStr">
        <is>
          <t>T044</t>
        </is>
      </c>
      <c r="B45" s="9" t="n">
        <v>46312</v>
      </c>
      <c r="C45" s="2" t="inlineStr">
        <is>
          <t>SC010</t>
        </is>
      </c>
      <c r="D45" s="2" t="inlineStr">
        <is>
          <t>OBJ0044</t>
        </is>
      </c>
      <c r="E45" s="2" t="inlineStr">
        <is>
          <t>Bicycle</t>
        </is>
      </c>
      <c r="F45" s="2" t="inlineStr">
        <is>
          <t>Annotator A</t>
        </is>
      </c>
      <c r="G45" s="2" t="inlineStr">
        <is>
          <t>In Review</t>
        </is>
      </c>
      <c r="H45" s="2" t="inlineStr">
        <is>
          <t>Pass</t>
        </is>
      </c>
      <c r="I45" s="2" t="inlineStr">
        <is>
          <t>Yes</t>
        </is>
      </c>
      <c r="J45" s="10" t="n">
        <v>0.98</v>
      </c>
      <c r="K45" s="2" t="inlineStr">
        <is>
          <t>Missing attributes</t>
        </is>
      </c>
    </row>
    <row r="46">
      <c r="A46" s="2" t="inlineStr">
        <is>
          <t>T045</t>
        </is>
      </c>
      <c r="B46" s="9" t="n">
        <v>46304</v>
      </c>
      <c r="C46" s="2" t="inlineStr">
        <is>
          <t>SC002</t>
        </is>
      </c>
      <c r="D46" s="2" t="inlineStr">
        <is>
          <t>OBJ0045</t>
        </is>
      </c>
      <c r="E46" s="2" t="inlineStr">
        <is>
          <t>Truck</t>
        </is>
      </c>
      <c r="F46" s="2" t="inlineStr">
        <is>
          <t>Annotator B</t>
        </is>
      </c>
      <c r="G46" s="2" t="inlineStr">
        <is>
          <t>Rejected</t>
        </is>
      </c>
      <c r="H46" s="2" t="inlineStr">
        <is>
          <t>Needs Review</t>
        </is>
      </c>
      <c r="I46" s="2" t="inlineStr">
        <is>
          <t>No</t>
        </is>
      </c>
      <c r="J46" s="10" t="n">
        <v>0.91</v>
      </c>
      <c r="K46" s="2" t="inlineStr">
        <is>
          <t>Missing attributes</t>
        </is>
      </c>
    </row>
    <row r="47">
      <c r="A47" s="2" t="inlineStr">
        <is>
          <t>T046</t>
        </is>
      </c>
      <c r="B47" s="9" t="n">
        <v>46304</v>
      </c>
      <c r="C47" s="2" t="inlineStr">
        <is>
          <t>SC013</t>
        </is>
      </c>
      <c r="D47" s="2" t="inlineStr">
        <is>
          <t>OBJ0046</t>
        </is>
      </c>
      <c r="E47" s="2" t="inlineStr">
        <is>
          <t>Bicycle</t>
        </is>
      </c>
      <c r="F47" s="2" t="inlineStr">
        <is>
          <t>Annotator B</t>
        </is>
      </c>
      <c r="G47" s="2" t="inlineStr">
        <is>
          <t>Pending</t>
        </is>
      </c>
      <c r="H47" s="2" t="inlineStr">
        <is>
          <t>Pass</t>
        </is>
      </c>
      <c r="I47" s="2" t="inlineStr">
        <is>
          <t>No</t>
        </is>
      </c>
      <c r="J47" s="10" t="n">
        <v>0.89</v>
      </c>
      <c r="K47" s="2" t="inlineStr"/>
    </row>
    <row r="48">
      <c r="A48" s="2" t="inlineStr">
        <is>
          <t>T047</t>
        </is>
      </c>
      <c r="B48" s="9" t="n">
        <v>46309</v>
      </c>
      <c r="C48" s="2" t="inlineStr">
        <is>
          <t>SC003</t>
        </is>
      </c>
      <c r="D48" s="2" t="inlineStr">
        <is>
          <t>OBJ0047</t>
        </is>
      </c>
      <c r="E48" s="2" t="inlineStr">
        <is>
          <t>Pedestrian</t>
        </is>
      </c>
      <c r="F48" s="2" t="inlineStr">
        <is>
          <t>Annotator C</t>
        </is>
      </c>
      <c r="G48" s="2" t="inlineStr">
        <is>
          <t>Completed</t>
        </is>
      </c>
      <c r="H48" s="2" t="inlineStr">
        <is>
          <t>Minor Error</t>
        </is>
      </c>
      <c r="I48" s="2" t="inlineStr">
        <is>
          <t>Yes</t>
        </is>
      </c>
      <c r="J48" s="10" t="n">
        <v>0.87</v>
      </c>
      <c r="K48" s="2" t="inlineStr">
        <is>
          <t>Missing attributes</t>
        </is>
      </c>
    </row>
    <row r="49">
      <c r="A49" s="2" t="inlineStr">
        <is>
          <t>T048</t>
        </is>
      </c>
      <c r="B49" s="9" t="n">
        <v>46298</v>
      </c>
      <c r="C49" s="2" t="inlineStr">
        <is>
          <t>SC009</t>
        </is>
      </c>
      <c r="D49" s="2" t="inlineStr">
        <is>
          <t>OBJ0048</t>
        </is>
      </c>
      <c r="E49" s="2" t="inlineStr">
        <is>
          <t>Pedestrian</t>
        </is>
      </c>
      <c r="F49" s="2" t="inlineStr">
        <is>
          <t>Annotator A</t>
        </is>
      </c>
      <c r="G49" s="2" t="inlineStr">
        <is>
          <t>Completed</t>
        </is>
      </c>
      <c r="H49" s="2" t="inlineStr">
        <is>
          <t>Major Error</t>
        </is>
      </c>
      <c r="I49" s="2" t="inlineStr">
        <is>
          <t>No</t>
        </is>
      </c>
      <c r="J49" s="10" t="n">
        <v>0.65</v>
      </c>
      <c r="K49" s="2" t="inlineStr">
        <is>
          <t>Verify object class</t>
        </is>
      </c>
    </row>
    <row r="50">
      <c r="A50" s="2" t="inlineStr">
        <is>
          <t>T049</t>
        </is>
      </c>
      <c r="B50" s="9" t="n">
        <v>46297</v>
      </c>
      <c r="C50" s="2" t="inlineStr">
        <is>
          <t>SC017</t>
        </is>
      </c>
      <c r="D50" s="2" t="inlineStr">
        <is>
          <t>OBJ0049</t>
        </is>
      </c>
      <c r="E50" s="2" t="inlineStr">
        <is>
          <t>Bicycle</t>
        </is>
      </c>
      <c r="F50" s="2" t="inlineStr">
        <is>
          <t>Annotator B</t>
        </is>
      </c>
      <c r="G50" s="2" t="inlineStr">
        <is>
          <t>Rejected</t>
        </is>
      </c>
      <c r="H50" s="2" t="inlineStr">
        <is>
          <t>Major Error</t>
        </is>
      </c>
      <c r="I50" s="2" t="inlineStr">
        <is>
          <t>Yes</t>
        </is>
      </c>
      <c r="J50" s="10" t="n">
        <v>0.98</v>
      </c>
      <c r="K50" s="2" t="inlineStr"/>
    </row>
    <row r="51">
      <c r="A51" s="2" t="inlineStr">
        <is>
          <t>T050</t>
        </is>
      </c>
      <c r="B51" s="9" t="n">
        <v>46316</v>
      </c>
      <c r="C51" s="2" t="inlineStr">
        <is>
          <t>SC010</t>
        </is>
      </c>
      <c r="D51" s="2" t="inlineStr">
        <is>
          <t>OBJ0050</t>
        </is>
      </c>
      <c r="E51" s="2" t="inlineStr">
        <is>
          <t>Car</t>
        </is>
      </c>
      <c r="F51" s="2" t="inlineStr">
        <is>
          <t>Annotator B</t>
        </is>
      </c>
      <c r="G51" s="2" t="inlineStr">
        <is>
          <t>Completed</t>
        </is>
      </c>
      <c r="H51" s="2" t="inlineStr">
        <is>
          <t>Needs Review</t>
        </is>
      </c>
      <c r="I51" s="2" t="inlineStr">
        <is>
          <t>No</t>
        </is>
      </c>
      <c r="J51" s="10" t="n">
        <v>0.8</v>
      </c>
      <c r="K51" s="2" t="inlineStr">
        <is>
          <t>Occluded object</t>
        </is>
      </c>
    </row>
    <row r="52">
      <c r="A52" s="2" t="inlineStr">
        <is>
          <t>T051</t>
        </is>
      </c>
      <c r="B52" s="9" t="n">
        <v>46304</v>
      </c>
      <c r="C52" s="2" t="inlineStr">
        <is>
          <t>SC002</t>
        </is>
      </c>
      <c r="D52" s="2" t="inlineStr">
        <is>
          <t>OBJ0051</t>
        </is>
      </c>
      <c r="E52" s="2" t="inlineStr">
        <is>
          <t>Truck</t>
        </is>
      </c>
      <c r="F52" s="2" t="inlineStr">
        <is>
          <t>Annotator A</t>
        </is>
      </c>
      <c r="G52" s="2" t="inlineStr">
        <is>
          <t>Completed</t>
        </is>
      </c>
      <c r="H52" s="2" t="inlineStr">
        <is>
          <t>Major Error</t>
        </is>
      </c>
      <c r="I52" s="2" t="inlineStr">
        <is>
          <t>Yes</t>
        </is>
      </c>
      <c r="J52" s="10" t="n">
        <v>0.9</v>
      </c>
      <c r="K52" s="2" t="inlineStr">
        <is>
          <t>Verify object class</t>
        </is>
      </c>
    </row>
    <row r="53">
      <c r="A53" s="2" t="inlineStr">
        <is>
          <t>T052</t>
        </is>
      </c>
      <c r="B53" s="9" t="n">
        <v>46310</v>
      </c>
      <c r="C53" s="2" t="inlineStr">
        <is>
          <t>SC004</t>
        </is>
      </c>
      <c r="D53" s="2" t="inlineStr">
        <is>
          <t>OBJ0052</t>
        </is>
      </c>
      <c r="E53" s="2" t="inlineStr">
        <is>
          <t>Truck</t>
        </is>
      </c>
      <c r="F53" s="2" t="inlineStr">
        <is>
          <t>Annotator D</t>
        </is>
      </c>
      <c r="G53" s="2" t="inlineStr">
        <is>
          <t>Completed</t>
        </is>
      </c>
      <c r="H53" s="2" t="inlineStr">
        <is>
          <t>Pass</t>
        </is>
      </c>
      <c r="I53" s="2" t="inlineStr">
        <is>
          <t>No</t>
        </is>
      </c>
      <c r="J53" s="10" t="n">
        <v>0.84</v>
      </c>
      <c r="K53" s="2" t="inlineStr">
        <is>
          <t>Check box alignment</t>
        </is>
      </c>
    </row>
    <row r="54">
      <c r="A54" s="2" t="inlineStr">
        <is>
          <t>T053</t>
        </is>
      </c>
      <c r="B54" s="9" t="n">
        <v>46303</v>
      </c>
      <c r="C54" s="2" t="inlineStr">
        <is>
          <t>SC011</t>
        </is>
      </c>
      <c r="D54" s="2" t="inlineStr">
        <is>
          <t>OBJ0053</t>
        </is>
      </c>
      <c r="E54" s="2" t="inlineStr">
        <is>
          <t>Motorcycle</t>
        </is>
      </c>
      <c r="F54" s="2" t="inlineStr">
        <is>
          <t>Annotator B</t>
        </is>
      </c>
      <c r="G54" s="2" t="inlineStr">
        <is>
          <t>Completed</t>
        </is>
      </c>
      <c r="H54" s="2" t="inlineStr">
        <is>
          <t>Pass</t>
        </is>
      </c>
      <c r="I54" s="2" t="inlineStr">
        <is>
          <t>Yes</t>
        </is>
      </c>
      <c r="J54" s="10" t="n">
        <v>0.79</v>
      </c>
      <c r="K54" s="2" t="inlineStr"/>
    </row>
    <row r="55">
      <c r="A55" s="2" t="inlineStr">
        <is>
          <t>T054</t>
        </is>
      </c>
      <c r="B55" s="9" t="n">
        <v>46316</v>
      </c>
      <c r="C55" s="2" t="inlineStr">
        <is>
          <t>SC009</t>
        </is>
      </c>
      <c r="D55" s="2" t="inlineStr">
        <is>
          <t>OBJ0054</t>
        </is>
      </c>
      <c r="E55" s="2" t="inlineStr">
        <is>
          <t>Car</t>
        </is>
      </c>
      <c r="F55" s="2" t="inlineStr">
        <is>
          <t>Annotator D</t>
        </is>
      </c>
      <c r="G55" s="2" t="inlineStr">
        <is>
          <t>Pending</t>
        </is>
      </c>
      <c r="H55" s="2" t="inlineStr">
        <is>
          <t>Pass</t>
        </is>
      </c>
      <c r="I55" s="2" t="inlineStr">
        <is>
          <t>Yes</t>
        </is>
      </c>
      <c r="J55" s="10" t="n">
        <v>0.67</v>
      </c>
      <c r="K55" s="2" t="inlineStr">
        <is>
          <t>Occluded object</t>
        </is>
      </c>
    </row>
    <row r="56">
      <c r="A56" s="2" t="inlineStr">
        <is>
          <t>T055</t>
        </is>
      </c>
      <c r="B56" s="9" t="n">
        <v>46305</v>
      </c>
      <c r="C56" s="2" t="inlineStr">
        <is>
          <t>SC008</t>
        </is>
      </c>
      <c r="D56" s="2" t="inlineStr">
        <is>
          <t>OBJ0055</t>
        </is>
      </c>
      <c r="E56" s="2" t="inlineStr">
        <is>
          <t>Traffic Light</t>
        </is>
      </c>
      <c r="F56" s="2" t="inlineStr">
        <is>
          <t>Annotator C</t>
        </is>
      </c>
      <c r="G56" s="2" t="inlineStr">
        <is>
          <t>Completed</t>
        </is>
      </c>
      <c r="H56" s="2" t="inlineStr">
        <is>
          <t>Pass</t>
        </is>
      </c>
      <c r="I56" s="2" t="inlineStr">
        <is>
          <t>Yes</t>
        </is>
      </c>
      <c r="J56" s="10" t="n">
        <v>0.8100000000000001</v>
      </c>
      <c r="K56" s="2" t="inlineStr"/>
    </row>
    <row r="57">
      <c r="A57" s="2" t="inlineStr">
        <is>
          <t>T056</t>
        </is>
      </c>
      <c r="B57" s="9" t="n">
        <v>46306</v>
      </c>
      <c r="C57" s="2" t="inlineStr">
        <is>
          <t>SC018</t>
        </is>
      </c>
      <c r="D57" s="2" t="inlineStr">
        <is>
          <t>OBJ0056</t>
        </is>
      </c>
      <c r="E57" s="2" t="inlineStr">
        <is>
          <t>Pedestrian</t>
        </is>
      </c>
      <c r="F57" s="2" t="inlineStr">
        <is>
          <t>Annotator C</t>
        </is>
      </c>
      <c r="G57" s="2" t="inlineStr">
        <is>
          <t>Completed</t>
        </is>
      </c>
      <c r="H57" s="2" t="inlineStr">
        <is>
          <t>Pass</t>
        </is>
      </c>
      <c r="I57" s="2" t="inlineStr">
        <is>
          <t>Yes</t>
        </is>
      </c>
      <c r="J57" s="10" t="n">
        <v>0.66</v>
      </c>
      <c r="K57" s="2" t="inlineStr"/>
    </row>
    <row r="58">
      <c r="A58" s="2" t="inlineStr">
        <is>
          <t>T057</t>
        </is>
      </c>
      <c r="B58" s="9" t="n">
        <v>46308</v>
      </c>
      <c r="C58" s="2" t="inlineStr">
        <is>
          <t>SC003</t>
        </is>
      </c>
      <c r="D58" s="2" t="inlineStr">
        <is>
          <t>OBJ0057</t>
        </is>
      </c>
      <c r="E58" s="2" t="inlineStr">
        <is>
          <t>Truck</t>
        </is>
      </c>
      <c r="F58" s="2" t="inlineStr">
        <is>
          <t>Annotator D</t>
        </is>
      </c>
      <c r="G58" s="2" t="inlineStr">
        <is>
          <t>Completed</t>
        </is>
      </c>
      <c r="H58" s="2" t="inlineStr">
        <is>
          <t>Pass</t>
        </is>
      </c>
      <c r="I58" s="2" t="inlineStr">
        <is>
          <t>No</t>
        </is>
      </c>
      <c r="J58" s="10" t="n">
        <v>0.82</v>
      </c>
      <c r="K58" s="2" t="inlineStr"/>
    </row>
    <row r="59">
      <c r="A59" s="2" t="inlineStr">
        <is>
          <t>T058</t>
        </is>
      </c>
      <c r="B59" s="9" t="n">
        <v>46304</v>
      </c>
      <c r="C59" s="2" t="inlineStr">
        <is>
          <t>SC003</t>
        </is>
      </c>
      <c r="D59" s="2" t="inlineStr">
        <is>
          <t>OBJ0058</t>
        </is>
      </c>
      <c r="E59" s="2" t="inlineStr">
        <is>
          <t>Truck</t>
        </is>
      </c>
      <c r="F59" s="2" t="inlineStr">
        <is>
          <t>Annotator B</t>
        </is>
      </c>
      <c r="G59" s="2" t="inlineStr">
        <is>
          <t>Completed</t>
        </is>
      </c>
      <c r="H59" s="2" t="inlineStr">
        <is>
          <t>Pass</t>
        </is>
      </c>
      <c r="I59" s="2" t="inlineStr">
        <is>
          <t>No</t>
        </is>
      </c>
      <c r="J59" s="10" t="n">
        <v>0.85</v>
      </c>
      <c r="K59" s="2" t="inlineStr">
        <is>
          <t>Check box alignment</t>
        </is>
      </c>
    </row>
    <row r="60">
      <c r="A60" s="2" t="inlineStr">
        <is>
          <t>T059</t>
        </is>
      </c>
      <c r="B60" s="9" t="n">
        <v>46298</v>
      </c>
      <c r="C60" s="2" t="inlineStr">
        <is>
          <t>SC017</t>
        </is>
      </c>
      <c r="D60" s="2" t="inlineStr">
        <is>
          <t>OBJ0059</t>
        </is>
      </c>
      <c r="E60" s="2" t="inlineStr">
        <is>
          <t>Car</t>
        </is>
      </c>
      <c r="F60" s="2" t="inlineStr">
        <is>
          <t>Annotator B</t>
        </is>
      </c>
      <c r="G60" s="2" t="inlineStr">
        <is>
          <t>Completed</t>
        </is>
      </c>
      <c r="H60" s="2" t="inlineStr">
        <is>
          <t>Pass</t>
        </is>
      </c>
      <c r="I60" s="2" t="inlineStr">
        <is>
          <t>No</t>
        </is>
      </c>
      <c r="J60" s="10" t="n">
        <v>0.91</v>
      </c>
      <c r="K60" s="2" t="inlineStr">
        <is>
          <t>Occluded object</t>
        </is>
      </c>
    </row>
    <row r="61">
      <c r="A61" s="2" t="inlineStr">
        <is>
          <t>T060</t>
        </is>
      </c>
      <c r="B61" s="9" t="n">
        <v>46316</v>
      </c>
      <c r="C61" s="2" t="inlineStr">
        <is>
          <t>SC005</t>
        </is>
      </c>
      <c r="D61" s="2" t="inlineStr">
        <is>
          <t>OBJ0060</t>
        </is>
      </c>
      <c r="E61" s="2" t="inlineStr">
        <is>
          <t>Bicycle</t>
        </is>
      </c>
      <c r="F61" s="2" t="inlineStr">
        <is>
          <t>Annotator A</t>
        </is>
      </c>
      <c r="G61" s="2" t="inlineStr">
        <is>
          <t>Completed</t>
        </is>
      </c>
      <c r="H61" s="2" t="inlineStr">
        <is>
          <t>Minor Error</t>
        </is>
      </c>
      <c r="I61" s="2" t="inlineStr">
        <is>
          <t>No</t>
        </is>
      </c>
      <c r="J61" s="10" t="n">
        <v>0.9</v>
      </c>
      <c r="K61" s="2" t="inlineStr">
        <is>
          <t>Missing attributes</t>
        </is>
      </c>
    </row>
  </sheetData>
  <autoFilter ref="A1:K61"/>
  <dataValidations count="4">
    <dataValidation sqref="E2:E501" showDropDown="0" showInputMessage="0" showErrorMessage="0" allowBlank="0" type="list">
      <formula1>"Car,Truck,Pedestrian,Bicycle,Motorcycle,Traffic Sign,Traffic Light"</formula1>
    </dataValidation>
    <dataValidation sqref="G2:G501" showDropDown="0" showInputMessage="0" showErrorMessage="0" allowBlank="0" type="list">
      <formula1>"Completed,In Review,Pending,Rejected"</formula1>
    </dataValidation>
    <dataValidation sqref="H2:H501" showDropDown="0" showInputMessage="0" showErrorMessage="0" allowBlank="0" type="list">
      <formula1>"Pass,Minor Error,Major Error,Needs Review"</formula1>
    </dataValidation>
    <dataValidation sqref="I2:I501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5" customWidth="1" min="4" max="4"/>
    <col width="14" customWidth="1" min="5" max="5"/>
    <col width="25" customWidth="1" min="6" max="6"/>
    <col width="18" customWidth="1" min="7" max="7"/>
  </cols>
  <sheetData>
    <row r="1">
      <c r="A1" s="11" t="inlineStr">
        <is>
          <t>Task_ID</t>
        </is>
      </c>
      <c r="B1" s="11" t="inlineStr">
        <is>
          <t>Object_Class</t>
        </is>
      </c>
      <c r="C1" s="11" t="inlineStr">
        <is>
          <t>Quality_Result</t>
        </is>
      </c>
      <c r="D1" s="11" t="inlineStr">
        <is>
          <t>Issue_Type</t>
        </is>
      </c>
      <c r="E1" s="11" t="inlineStr">
        <is>
          <t>Severity</t>
        </is>
      </c>
      <c r="F1" s="11" t="inlineStr">
        <is>
          <t>Action_Required</t>
        </is>
      </c>
      <c r="G1" s="11" t="inlineStr">
        <is>
          <t>Reviewer</t>
        </is>
      </c>
    </row>
    <row r="2">
      <c r="A2" s="2">
        <f>Annotation_Data!A2</f>
        <v/>
      </c>
      <c r="B2" s="2">
        <f>Annotation_Data!E2</f>
        <v/>
      </c>
      <c r="C2" s="2">
        <f>Annotation_Data!H2</f>
        <v/>
      </c>
      <c r="D2" s="2" t="inlineStr">
        <is>
          <t>Occlusion issue</t>
        </is>
      </c>
      <c r="E2" s="2" t="inlineStr">
        <is>
          <t>Low</t>
        </is>
      </c>
      <c r="F2" s="2" t="inlineStr">
        <is>
          <t>Correct label</t>
        </is>
      </c>
      <c r="G2" s="2" t="inlineStr">
        <is>
          <t>Reviewer 1</t>
        </is>
      </c>
    </row>
    <row r="3">
      <c r="A3" s="2">
        <f>Annotation_Data!A4</f>
        <v/>
      </c>
      <c r="B3" s="2">
        <f>Annotation_Data!E4</f>
        <v/>
      </c>
      <c r="C3" s="2">
        <f>Annotation_Data!H4</f>
        <v/>
      </c>
      <c r="D3" s="2" t="inlineStr">
        <is>
          <t>Incorrect label</t>
        </is>
      </c>
      <c r="E3" s="2" t="inlineStr">
        <is>
          <t>Low</t>
        </is>
      </c>
      <c r="F3" s="2" t="inlineStr">
        <is>
          <t>Correct label</t>
        </is>
      </c>
      <c r="G3" s="2" t="inlineStr">
        <is>
          <t>Reviewer 1</t>
        </is>
      </c>
    </row>
    <row r="4">
      <c r="A4" s="2">
        <f>Annotation_Data!A6</f>
        <v/>
      </c>
      <c r="B4" s="2">
        <f>Annotation_Data!E6</f>
        <v/>
      </c>
      <c r="C4" s="2">
        <f>Annotation_Data!H6</f>
        <v/>
      </c>
      <c r="D4" s="2" t="inlineStr">
        <is>
          <t>Bounding-box issue</t>
        </is>
      </c>
      <c r="E4" s="2" t="inlineStr">
        <is>
          <t>Low</t>
        </is>
      </c>
      <c r="F4" s="2" t="inlineStr">
        <is>
          <t>Escalate to QA</t>
        </is>
      </c>
      <c r="G4" s="2" t="inlineStr">
        <is>
          <t>Reviewer 2</t>
        </is>
      </c>
    </row>
    <row r="5">
      <c r="A5" s="2">
        <f>Annotation_Data!A8</f>
        <v/>
      </c>
      <c r="B5" s="2">
        <f>Annotation_Data!E8</f>
        <v/>
      </c>
      <c r="C5" s="2">
        <f>Annotation_Data!H8</f>
        <v/>
      </c>
      <c r="D5" s="2" t="inlineStr">
        <is>
          <t>Occlusion issue</t>
        </is>
      </c>
      <c r="E5" s="2" t="inlineStr">
        <is>
          <t>Low</t>
        </is>
      </c>
      <c r="F5" s="2" t="inlineStr">
        <is>
          <t>Correct label</t>
        </is>
      </c>
      <c r="G5" s="2" t="inlineStr">
        <is>
          <t>Reviewer 1</t>
        </is>
      </c>
    </row>
    <row r="6">
      <c r="A6" s="2">
        <f>Annotation_Data!A10</f>
        <v/>
      </c>
      <c r="B6" s="2">
        <f>Annotation_Data!E10</f>
        <v/>
      </c>
      <c r="C6" s="2">
        <f>Annotation_Data!H10</f>
        <v/>
      </c>
      <c r="D6" s="2" t="inlineStr">
        <is>
          <t>Duplicate annotation</t>
        </is>
      </c>
      <c r="E6" s="2" t="inlineStr">
        <is>
          <t>Medium</t>
        </is>
      </c>
      <c r="F6" s="2" t="inlineStr">
        <is>
          <t>Correct label</t>
        </is>
      </c>
      <c r="G6" s="2" t="inlineStr">
        <is>
          <t>Reviewer 2</t>
        </is>
      </c>
    </row>
    <row r="7">
      <c r="A7" s="2">
        <f>Annotation_Data!A12</f>
        <v/>
      </c>
      <c r="B7" s="2">
        <f>Annotation_Data!E12</f>
        <v/>
      </c>
      <c r="C7" s="2">
        <f>Annotation_Data!H12</f>
        <v/>
      </c>
      <c r="D7" s="2" t="inlineStr">
        <is>
          <t>Incorrect label</t>
        </is>
      </c>
      <c r="E7" s="2" t="inlineStr">
        <is>
          <t>High</t>
        </is>
      </c>
      <c r="F7" s="2" t="inlineStr">
        <is>
          <t>Correct label</t>
        </is>
      </c>
      <c r="G7" s="2" t="inlineStr">
        <is>
          <t>Reviewer 1</t>
        </is>
      </c>
    </row>
    <row r="8">
      <c r="A8" s="2">
        <f>Annotation_Data!A14</f>
        <v/>
      </c>
      <c r="B8" s="2">
        <f>Annotation_Data!E14</f>
        <v/>
      </c>
      <c r="C8" s="2">
        <f>Annotation_Data!H14</f>
        <v/>
      </c>
      <c r="D8" s="2" t="inlineStr">
        <is>
          <t>Duplicate annotation</t>
        </is>
      </c>
      <c r="E8" s="2" t="inlineStr">
        <is>
          <t>Medium</t>
        </is>
      </c>
      <c r="F8" s="2" t="inlineStr">
        <is>
          <t>Correct label</t>
        </is>
      </c>
      <c r="G8" s="2" t="inlineStr">
        <is>
          <t>Reviewer 2</t>
        </is>
      </c>
    </row>
    <row r="9">
      <c r="A9" s="2">
        <f>Annotation_Data!A16</f>
        <v/>
      </c>
      <c r="B9" s="2">
        <f>Annotation_Data!E16</f>
        <v/>
      </c>
      <c r="C9" s="2">
        <f>Annotation_Data!H16</f>
        <v/>
      </c>
      <c r="D9" s="2" t="inlineStr">
        <is>
          <t>Missing object</t>
        </is>
      </c>
      <c r="E9" s="2" t="inlineStr">
        <is>
          <t>High</t>
        </is>
      </c>
      <c r="F9" s="2" t="inlineStr">
        <is>
          <t>Re-annotate</t>
        </is>
      </c>
      <c r="G9" s="2" t="inlineStr">
        <is>
          <t>Reviewer 1</t>
        </is>
      </c>
    </row>
    <row r="10">
      <c r="A10" s="2">
        <f>Annotation_Data!A18</f>
        <v/>
      </c>
      <c r="B10" s="2">
        <f>Annotation_Data!E18</f>
        <v/>
      </c>
      <c r="C10" s="2">
        <f>Annotation_Data!H18</f>
        <v/>
      </c>
      <c r="D10" s="2" t="inlineStr">
        <is>
          <t>Duplicate annotation</t>
        </is>
      </c>
      <c r="E10" s="2" t="inlineStr">
        <is>
          <t>Medium</t>
        </is>
      </c>
      <c r="F10" s="2" t="inlineStr">
        <is>
          <t>Escalate to QA</t>
        </is>
      </c>
      <c r="G10" s="2" t="inlineStr">
        <is>
          <t>Reviewer 1</t>
        </is>
      </c>
    </row>
    <row r="11">
      <c r="A11" s="2">
        <f>Annotation_Data!A20</f>
        <v/>
      </c>
      <c r="B11" s="2">
        <f>Annotation_Data!E20</f>
        <v/>
      </c>
      <c r="C11" s="2">
        <f>Annotation_Data!H20</f>
        <v/>
      </c>
      <c r="D11" s="2" t="inlineStr">
        <is>
          <t>Duplicate annotation</t>
        </is>
      </c>
      <c r="E11" s="2" t="inlineStr">
        <is>
          <t>High</t>
        </is>
      </c>
      <c r="F11" s="2" t="inlineStr">
        <is>
          <t>Verify with guideline</t>
        </is>
      </c>
      <c r="G11" s="2" t="inlineStr">
        <is>
          <t>Reviewer 1</t>
        </is>
      </c>
    </row>
    <row r="12">
      <c r="A12" s="2">
        <f>Annotation_Data!A22</f>
        <v/>
      </c>
      <c r="B12" s="2">
        <f>Annotation_Data!E22</f>
        <v/>
      </c>
      <c r="C12" s="2">
        <f>Annotation_Data!H22</f>
        <v/>
      </c>
      <c r="D12" s="2" t="inlineStr">
        <is>
          <t>Occlusion issue</t>
        </is>
      </c>
      <c r="E12" s="2" t="inlineStr">
        <is>
          <t>High</t>
        </is>
      </c>
      <c r="F12" s="2" t="inlineStr">
        <is>
          <t>Re-annotate</t>
        </is>
      </c>
      <c r="G12" s="2" t="inlineStr">
        <is>
          <t>Reviewer 1</t>
        </is>
      </c>
    </row>
    <row r="13">
      <c r="A13" s="2">
        <f>Annotation_Data!A24</f>
        <v/>
      </c>
      <c r="B13" s="2">
        <f>Annotation_Data!E24</f>
        <v/>
      </c>
      <c r="C13" s="2">
        <f>Annotation_Data!H24</f>
        <v/>
      </c>
      <c r="D13" s="2" t="inlineStr">
        <is>
          <t>Occlusion issue</t>
        </is>
      </c>
      <c r="E13" s="2" t="inlineStr">
        <is>
          <t>Low</t>
        </is>
      </c>
      <c r="F13" s="2" t="inlineStr">
        <is>
          <t>Verify with guideline</t>
        </is>
      </c>
      <c r="G13" s="2" t="inlineStr">
        <is>
          <t>Reviewer 2</t>
        </is>
      </c>
    </row>
    <row r="14">
      <c r="A14" s="2">
        <f>Annotation_Data!A26</f>
        <v/>
      </c>
      <c r="B14" s="2">
        <f>Annotation_Data!E26</f>
        <v/>
      </c>
      <c r="C14" s="2">
        <f>Annotation_Data!H26</f>
        <v/>
      </c>
      <c r="D14" s="2" t="inlineStr">
        <is>
          <t>Bounding-box issue</t>
        </is>
      </c>
      <c r="E14" s="2" t="inlineStr">
        <is>
          <t>High</t>
        </is>
      </c>
      <c r="F14" s="2" t="inlineStr">
        <is>
          <t>Re-annotate</t>
        </is>
      </c>
      <c r="G14" s="2" t="inlineStr">
        <is>
          <t>Reviewer 1</t>
        </is>
      </c>
    </row>
    <row r="15">
      <c r="A15" s="2">
        <f>Annotation_Data!A28</f>
        <v/>
      </c>
      <c r="B15" s="2">
        <f>Annotation_Data!E28</f>
        <v/>
      </c>
      <c r="C15" s="2">
        <f>Annotation_Data!H28</f>
        <v/>
      </c>
      <c r="D15" s="2" t="inlineStr">
        <is>
          <t>Duplicate annotation</t>
        </is>
      </c>
      <c r="E15" s="2" t="inlineStr">
        <is>
          <t>Low</t>
        </is>
      </c>
      <c r="F15" s="2" t="inlineStr">
        <is>
          <t>Escalate to QA</t>
        </is>
      </c>
      <c r="G15" s="2" t="inlineStr">
        <is>
          <t>Reviewer 2</t>
        </is>
      </c>
    </row>
    <row r="16">
      <c r="A16" s="2">
        <f>Annotation_Data!A30</f>
        <v/>
      </c>
      <c r="B16" s="2">
        <f>Annotation_Data!E30</f>
        <v/>
      </c>
      <c r="C16" s="2">
        <f>Annotation_Data!H30</f>
        <v/>
      </c>
      <c r="D16" s="2" t="inlineStr">
        <is>
          <t>Incorrect label</t>
        </is>
      </c>
      <c r="E16" s="2" t="inlineStr">
        <is>
          <t>High</t>
        </is>
      </c>
      <c r="F16" s="2" t="inlineStr">
        <is>
          <t>Re-annotate</t>
        </is>
      </c>
      <c r="G16" s="2" t="inlineStr">
        <is>
          <t>Reviewer 2</t>
        </is>
      </c>
    </row>
    <row r="17">
      <c r="A17" s="2">
        <f>Annotation_Data!A32</f>
        <v/>
      </c>
      <c r="B17" s="2">
        <f>Annotation_Data!E32</f>
        <v/>
      </c>
      <c r="C17" s="2">
        <f>Annotation_Data!H32</f>
        <v/>
      </c>
      <c r="D17" s="2" t="inlineStr">
        <is>
          <t>Bounding-box issue</t>
        </is>
      </c>
      <c r="E17" s="2" t="inlineStr">
        <is>
          <t>High</t>
        </is>
      </c>
      <c r="F17" s="2" t="inlineStr">
        <is>
          <t>Verify with guideline</t>
        </is>
      </c>
      <c r="G17" s="2" t="inlineStr">
        <is>
          <t>Reviewer 2</t>
        </is>
      </c>
    </row>
    <row r="18">
      <c r="A18" s="2">
        <f>Annotation_Data!A34</f>
        <v/>
      </c>
      <c r="B18" s="2">
        <f>Annotation_Data!E34</f>
        <v/>
      </c>
      <c r="C18" s="2">
        <f>Annotation_Data!H34</f>
        <v/>
      </c>
      <c r="D18" s="2" t="inlineStr">
        <is>
          <t>Duplicate annotation</t>
        </is>
      </c>
      <c r="E18" s="2" t="inlineStr">
        <is>
          <t>Medium</t>
        </is>
      </c>
      <c r="F18" s="2" t="inlineStr">
        <is>
          <t>Correct label</t>
        </is>
      </c>
      <c r="G18" s="2" t="inlineStr">
        <is>
          <t>Reviewer 1</t>
        </is>
      </c>
    </row>
    <row r="19">
      <c r="A19" s="2">
        <f>Annotation_Data!A36</f>
        <v/>
      </c>
      <c r="B19" s="2">
        <f>Annotation_Data!E36</f>
        <v/>
      </c>
      <c r="C19" s="2">
        <f>Annotation_Data!H36</f>
        <v/>
      </c>
      <c r="D19" s="2" t="inlineStr">
        <is>
          <t>Bounding-box issue</t>
        </is>
      </c>
      <c r="E19" s="2" t="inlineStr">
        <is>
          <t>Low</t>
        </is>
      </c>
      <c r="F19" s="2" t="inlineStr">
        <is>
          <t>Escalate to QA</t>
        </is>
      </c>
      <c r="G19" s="2" t="inlineStr">
        <is>
          <t>Reviewer 1</t>
        </is>
      </c>
    </row>
    <row r="20">
      <c r="A20" s="2">
        <f>Annotation_Data!A38</f>
        <v/>
      </c>
      <c r="B20" s="2">
        <f>Annotation_Data!E38</f>
        <v/>
      </c>
      <c r="C20" s="2">
        <f>Annotation_Data!H38</f>
        <v/>
      </c>
      <c r="D20" s="2" t="inlineStr">
        <is>
          <t>Bounding-box issue</t>
        </is>
      </c>
      <c r="E20" s="2" t="inlineStr">
        <is>
          <t>Medium</t>
        </is>
      </c>
      <c r="F20" s="2" t="inlineStr">
        <is>
          <t>Correct label</t>
        </is>
      </c>
      <c r="G20" s="2" t="inlineStr">
        <is>
          <t>Reviewer 2</t>
        </is>
      </c>
    </row>
    <row r="21">
      <c r="A21" s="2">
        <f>Annotation_Data!A40</f>
        <v/>
      </c>
      <c r="B21" s="2">
        <f>Annotation_Data!E40</f>
        <v/>
      </c>
      <c r="C21" s="2">
        <f>Annotation_Data!H40</f>
        <v/>
      </c>
      <c r="D21" s="2" t="inlineStr">
        <is>
          <t>Bounding-box issue</t>
        </is>
      </c>
      <c r="E21" s="2" t="inlineStr">
        <is>
          <t>Medium</t>
        </is>
      </c>
      <c r="F21" s="2" t="inlineStr">
        <is>
          <t>Re-annotate</t>
        </is>
      </c>
      <c r="G21" s="2" t="inlineStr">
        <is>
          <t>Reviewer 1</t>
        </is>
      </c>
    </row>
    <row r="22">
      <c r="A22" s="2">
        <f>Annotation_Data!A42</f>
        <v/>
      </c>
      <c r="B22" s="2">
        <f>Annotation_Data!E42</f>
        <v/>
      </c>
      <c r="C22" s="2">
        <f>Annotation_Data!H42</f>
        <v/>
      </c>
      <c r="D22" s="2" t="inlineStr">
        <is>
          <t>Incorrect label</t>
        </is>
      </c>
      <c r="E22" s="2" t="inlineStr">
        <is>
          <t>High</t>
        </is>
      </c>
      <c r="F22" s="2" t="inlineStr">
        <is>
          <t>Correct label</t>
        </is>
      </c>
      <c r="G22" s="2" t="inlineStr">
        <is>
          <t>Reviewer 1</t>
        </is>
      </c>
    </row>
    <row r="23">
      <c r="A23" s="2">
        <f>Annotation_Data!A44</f>
        <v/>
      </c>
      <c r="B23" s="2">
        <f>Annotation_Data!E44</f>
        <v/>
      </c>
      <c r="C23" s="2">
        <f>Annotation_Data!H44</f>
        <v/>
      </c>
      <c r="D23" s="2" t="inlineStr">
        <is>
          <t>Occlusion issue</t>
        </is>
      </c>
      <c r="E23" s="2" t="inlineStr">
        <is>
          <t>Medium</t>
        </is>
      </c>
      <c r="F23" s="2" t="inlineStr">
        <is>
          <t>Verify with guideline</t>
        </is>
      </c>
      <c r="G23" s="2" t="inlineStr">
        <is>
          <t>Reviewer 1</t>
        </is>
      </c>
    </row>
    <row r="24">
      <c r="A24" s="2">
        <f>Annotation_Data!A46</f>
        <v/>
      </c>
      <c r="B24" s="2">
        <f>Annotation_Data!E46</f>
        <v/>
      </c>
      <c r="C24" s="2">
        <f>Annotation_Data!H46</f>
        <v/>
      </c>
      <c r="D24" s="2" t="inlineStr">
        <is>
          <t>Occlusion issue</t>
        </is>
      </c>
      <c r="E24" s="2" t="inlineStr">
        <is>
          <t>High</t>
        </is>
      </c>
      <c r="F24" s="2" t="inlineStr">
        <is>
          <t>Verify with guideline</t>
        </is>
      </c>
      <c r="G24" s="2" t="inlineStr">
        <is>
          <t>Reviewer 1</t>
        </is>
      </c>
    </row>
    <row r="25">
      <c r="A25" s="2">
        <f>Annotation_Data!A48</f>
        <v/>
      </c>
      <c r="B25" s="2">
        <f>Annotation_Data!E48</f>
        <v/>
      </c>
      <c r="C25" s="2">
        <f>Annotation_Data!H48</f>
        <v/>
      </c>
      <c r="D25" s="2" t="inlineStr">
        <is>
          <t>Bounding-box issue</t>
        </is>
      </c>
      <c r="E25" s="2" t="inlineStr">
        <is>
          <t>Low</t>
        </is>
      </c>
      <c r="F25" s="2" t="inlineStr">
        <is>
          <t>Escalate to QA</t>
        </is>
      </c>
      <c r="G25" s="2" t="inlineStr">
        <is>
          <t>Reviewer 2</t>
        </is>
      </c>
    </row>
    <row r="26">
      <c r="A26" s="2">
        <f>Annotation_Data!A50</f>
        <v/>
      </c>
      <c r="B26" s="2">
        <f>Annotation_Data!E50</f>
        <v/>
      </c>
      <c r="C26" s="2">
        <f>Annotation_Data!H50</f>
        <v/>
      </c>
      <c r="D26" s="2" t="inlineStr">
        <is>
          <t>Duplicate annotation</t>
        </is>
      </c>
      <c r="E26" s="2" t="inlineStr">
        <is>
          <t>Low</t>
        </is>
      </c>
      <c r="F26" s="2" t="inlineStr">
        <is>
          <t>Re-annotate</t>
        </is>
      </c>
      <c r="G26" s="2" t="inlineStr">
        <is>
          <t>Reviewer 1</t>
        </is>
      </c>
    </row>
    <row r="27">
      <c r="A27" s="2">
        <f>Annotation_Data!A52</f>
        <v/>
      </c>
      <c r="B27" s="2">
        <f>Annotation_Data!E52</f>
        <v/>
      </c>
      <c r="C27" s="2">
        <f>Annotation_Data!H52</f>
        <v/>
      </c>
      <c r="D27" s="2" t="inlineStr">
        <is>
          <t>Duplicate annotation</t>
        </is>
      </c>
      <c r="E27" s="2" t="inlineStr">
        <is>
          <t>High</t>
        </is>
      </c>
      <c r="F27" s="2" t="inlineStr">
        <is>
          <t>Escalate to QA</t>
        </is>
      </c>
      <c r="G27" s="2" t="inlineStr">
        <is>
          <t>Reviewer 2</t>
        </is>
      </c>
    </row>
    <row r="28">
      <c r="A28" s="2">
        <f>Annotation_Data!A54</f>
        <v/>
      </c>
      <c r="B28" s="2">
        <f>Annotation_Data!E54</f>
        <v/>
      </c>
      <c r="C28" s="2">
        <f>Annotation_Data!H54</f>
        <v/>
      </c>
      <c r="D28" s="2" t="inlineStr">
        <is>
          <t>Bounding-box issue</t>
        </is>
      </c>
      <c r="E28" s="2" t="inlineStr">
        <is>
          <t>High</t>
        </is>
      </c>
      <c r="F28" s="2" t="inlineStr">
        <is>
          <t>Re-annotate</t>
        </is>
      </c>
      <c r="G28" s="2" t="inlineStr">
        <is>
          <t>Reviewer 2</t>
        </is>
      </c>
    </row>
    <row r="29">
      <c r="A29" s="2">
        <f>Annotation_Data!A56</f>
        <v/>
      </c>
      <c r="B29" s="2">
        <f>Annotation_Data!E56</f>
        <v/>
      </c>
      <c r="C29" s="2">
        <f>Annotation_Data!H56</f>
        <v/>
      </c>
      <c r="D29" s="2" t="inlineStr">
        <is>
          <t>Bounding-box issue</t>
        </is>
      </c>
      <c r="E29" s="2" t="inlineStr">
        <is>
          <t>Medium</t>
        </is>
      </c>
      <c r="F29" s="2" t="inlineStr">
        <is>
          <t>Verify with guideline</t>
        </is>
      </c>
      <c r="G29" s="2" t="inlineStr">
        <is>
          <t>Reviewer 1</t>
        </is>
      </c>
    </row>
    <row r="30">
      <c r="A30" s="2">
        <f>Annotation_Data!A58</f>
        <v/>
      </c>
      <c r="B30" s="2">
        <f>Annotation_Data!E58</f>
        <v/>
      </c>
      <c r="C30" s="2">
        <f>Annotation_Data!H58</f>
        <v/>
      </c>
      <c r="D30" s="2" t="inlineStr">
        <is>
          <t>Bounding-box issue</t>
        </is>
      </c>
      <c r="E30" s="2" t="inlineStr">
        <is>
          <t>Low</t>
        </is>
      </c>
      <c r="F30" s="2" t="inlineStr">
        <is>
          <t>Verify with guideline</t>
        </is>
      </c>
      <c r="G30" s="2" t="inlineStr">
        <is>
          <t>Reviewer 2</t>
        </is>
      </c>
    </row>
    <row r="31">
      <c r="A31" s="2">
        <f>Annotation_Data!A60</f>
        <v/>
      </c>
      <c r="B31" s="2">
        <f>Annotation_Data!E60</f>
        <v/>
      </c>
      <c r="C31" s="2">
        <f>Annotation_Data!H60</f>
        <v/>
      </c>
      <c r="D31" s="2" t="inlineStr">
        <is>
          <t>Duplicate annotation</t>
        </is>
      </c>
      <c r="E31" s="2" t="inlineStr">
        <is>
          <t>Low</t>
        </is>
      </c>
      <c r="F31" s="2" t="inlineStr">
        <is>
          <t>Re-annotate</t>
        </is>
      </c>
      <c r="G31" s="2" t="inlineStr">
        <is>
          <t>Reviewer 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2" customWidth="1" min="4" max="4"/>
    <col width="14" customWidth="1" min="5" max="5"/>
  </cols>
  <sheetData>
    <row r="1">
      <c r="A1" s="12" t="inlineStr">
        <is>
          <t>AUTONOMOUS DRIVING OBJECT ANNOTATION TRACKER</t>
        </is>
      </c>
      <c r="B1" s="2" t="n"/>
      <c r="C1" s="2" t="n"/>
      <c r="D1" s="2" t="n"/>
      <c r="E1" s="2" t="n"/>
    </row>
    <row r="2">
      <c r="A2" s="3" t="inlineStr">
        <is>
          <t>Sample portfolio project — replace example records with your own practice data.</t>
        </is>
      </c>
      <c r="B2" s="2" t="n"/>
      <c r="C2" s="2" t="n"/>
      <c r="D2" s="2" t="n"/>
      <c r="E2" s="2" t="n"/>
    </row>
    <row r="3">
      <c r="A3" s="4" t="inlineStr">
        <is>
          <t>Metric</t>
        </is>
      </c>
      <c r="B3" s="4" t="inlineStr">
        <is>
          <t>Value</t>
        </is>
      </c>
      <c r="C3" s="4" t="n"/>
      <c r="D3" s="4" t="n"/>
      <c r="E3" s="2" t="n"/>
    </row>
    <row r="4">
      <c r="A4" s="13" t="inlineStr">
        <is>
          <t>Total annotation tasks</t>
        </is>
      </c>
      <c r="B4" s="14">
        <f>COUNTA(Annotation_Data!A2:A501)</f>
        <v/>
      </c>
      <c r="C4" s="2" t="n"/>
      <c r="D4" s="2" t="n"/>
      <c r="E4" s="2" t="n"/>
    </row>
    <row r="5">
      <c r="A5" s="13" t="inlineStr">
        <is>
          <t>Completed tasks</t>
        </is>
      </c>
      <c r="B5" s="14">
        <f>COUNTIF(Annotation_Data!G2:G501,"Completed")</f>
        <v/>
      </c>
      <c r="C5" s="2" t="n"/>
      <c r="D5" s="2" t="n"/>
      <c r="E5" s="2" t="n"/>
    </row>
    <row r="6">
      <c r="A6" s="13" t="inlineStr">
        <is>
          <t>Pending tasks</t>
        </is>
      </c>
      <c r="B6" s="14">
        <f>COUNTIF(Annotation_Data!G2:G501,"Pending")</f>
        <v/>
      </c>
      <c r="C6" s="2" t="n"/>
      <c r="D6" s="2" t="n"/>
      <c r="E6" s="2" t="n"/>
    </row>
    <row r="7">
      <c r="A7" s="13" t="inlineStr">
        <is>
          <t>Rejected tasks</t>
        </is>
      </c>
      <c r="B7" s="14">
        <f>COUNTIF(Annotation_Data!G2:G501,"Rejected")</f>
        <v/>
      </c>
      <c r="C7" s="2" t="n"/>
      <c r="D7" s="2" t="n"/>
      <c r="E7" s="2" t="n"/>
    </row>
    <row r="8">
      <c r="A8" s="13" t="inlineStr">
        <is>
          <t>Tasks passed QA</t>
        </is>
      </c>
      <c r="B8" s="14">
        <f>COUNTIF(Annotation_Data!H2:H501,"Pass")</f>
        <v/>
      </c>
      <c r="C8" s="2" t="n"/>
      <c r="D8" s="2" t="n"/>
      <c r="E8" s="2" t="n"/>
    </row>
    <row r="9">
      <c r="A9" s="13" t="inlineStr">
        <is>
          <t>Tasks with major errors</t>
        </is>
      </c>
      <c r="B9" s="14">
        <f>COUNTIF(Annotation_Data!H2:H501,"Major Error")</f>
        <v/>
      </c>
      <c r="C9" s="2" t="n"/>
      <c r="D9" s="2" t="n"/>
      <c r="E9" s="2" t="n"/>
    </row>
    <row r="10">
      <c r="A10" s="13" t="inlineStr">
        <is>
          <t>Bounding boxes complete</t>
        </is>
      </c>
      <c r="B10" s="14">
        <f>COUNTIF(Annotation_Data!I2:I501,"Yes")</f>
        <v/>
      </c>
      <c r="C10" s="2" t="n"/>
      <c r="D10" s="2" t="n"/>
      <c r="E10" s="2" t="n"/>
    </row>
    <row r="11">
      <c r="A11" s="13" t="inlineStr">
        <is>
          <t>Completion rate</t>
        </is>
      </c>
      <c r="B11" s="15">
        <f>IFERROR(B4/B3,0)</f>
        <v/>
      </c>
      <c r="C11" s="2" t="n"/>
      <c r="D11" s="2" t="n"/>
      <c r="E11" s="2" t="n"/>
    </row>
    <row r="12">
      <c r="A12" s="13" t="inlineStr">
        <is>
          <t>QA pass rate</t>
        </is>
      </c>
      <c r="B12" s="15">
        <f>IFERROR(B7/B3,0)</f>
        <v/>
      </c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4" t="inlineStr">
        <is>
          <t>Object Class</t>
        </is>
      </c>
      <c r="B15" s="4" t="inlineStr">
        <is>
          <t>Task Count</t>
        </is>
      </c>
      <c r="C15" s="2" t="n"/>
      <c r="D15" s="4" t="inlineStr">
        <is>
          <t>Status</t>
        </is>
      </c>
      <c r="E15" s="4" t="inlineStr">
        <is>
          <t>Count</t>
        </is>
      </c>
    </row>
    <row r="16">
      <c r="A16" s="2" t="inlineStr">
        <is>
          <t>Car</t>
        </is>
      </c>
      <c r="B16" s="2">
        <f>COUNTIF(Annotation_Data!E2:E501,A16)</f>
        <v/>
      </c>
      <c r="C16" s="2" t="n"/>
      <c r="D16" s="2" t="inlineStr">
        <is>
          <t>Completed</t>
        </is>
      </c>
      <c r="E16" s="2">
        <f>COUNTIF(Annotation_Data!G2:G501,D16)</f>
        <v/>
      </c>
    </row>
    <row r="17">
      <c r="A17" s="2" t="inlineStr">
        <is>
          <t>Truck</t>
        </is>
      </c>
      <c r="B17" s="2">
        <f>COUNTIF(Annotation_Data!E2:E501,A17)</f>
        <v/>
      </c>
      <c r="C17" s="2" t="n"/>
      <c r="D17" s="2" t="inlineStr">
        <is>
          <t>In Review</t>
        </is>
      </c>
      <c r="E17" s="2">
        <f>COUNTIF(Annotation_Data!G2:G501,D17)</f>
        <v/>
      </c>
    </row>
    <row r="18">
      <c r="A18" s="2" t="inlineStr">
        <is>
          <t>Pedestrian</t>
        </is>
      </c>
      <c r="B18" s="2">
        <f>COUNTIF(Annotation_Data!E2:E501,A18)</f>
        <v/>
      </c>
      <c r="C18" s="2" t="n"/>
      <c r="D18" s="2" t="inlineStr">
        <is>
          <t>Pending</t>
        </is>
      </c>
      <c r="E18" s="2">
        <f>COUNTIF(Annotation_Data!G2:G501,D18)</f>
        <v/>
      </c>
    </row>
    <row r="19">
      <c r="A19" s="2" t="inlineStr">
        <is>
          <t>Bicycle</t>
        </is>
      </c>
      <c r="B19" s="2">
        <f>COUNTIF(Annotation_Data!E2:E501,A19)</f>
        <v/>
      </c>
      <c r="C19" s="2" t="n"/>
      <c r="D19" s="2" t="inlineStr">
        <is>
          <t>Rejected</t>
        </is>
      </c>
      <c r="E19" s="2">
        <f>COUNTIF(Annotation_Data!G2:G501,D19)</f>
        <v/>
      </c>
    </row>
    <row r="20">
      <c r="A20" s="2" t="inlineStr">
        <is>
          <t>Motorcycle</t>
        </is>
      </c>
      <c r="B20" s="2">
        <f>COUNTIF(Annotation_Data!E2:E501,A20)</f>
        <v/>
      </c>
      <c r="C20" s="2" t="n"/>
      <c r="D20" s="2" t="n"/>
      <c r="E20" s="2" t="n"/>
    </row>
    <row r="21">
      <c r="A21" s="2" t="inlineStr">
        <is>
          <t>Traffic Sign</t>
        </is>
      </c>
      <c r="B21" s="2">
        <f>COUNTIF(Annotation_Data!E2:E501,A21)</f>
        <v/>
      </c>
      <c r="C21" s="2" t="n"/>
      <c r="D21" s="2" t="n"/>
      <c r="E21" s="2" t="n"/>
    </row>
    <row r="22">
      <c r="A22" s="2" t="inlineStr">
        <is>
          <t>Traffic Light</t>
        </is>
      </c>
      <c r="B22" s="2">
        <f>COUNTIF(Annotation_Data!E2:E501,A22)</f>
        <v/>
      </c>
      <c r="C22" s="2" t="n"/>
      <c r="D22" s="2" t="n"/>
      <c r="E22" s="2" t="n"/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16" t="inlineStr">
        <is>
          <t>Project</t>
        </is>
      </c>
      <c r="B1" s="16" t="inlineStr">
        <is>
          <t>Autonomous Driving Object Annotation Tracker</t>
        </is>
      </c>
    </row>
    <row r="2" ht="36" customHeight="1">
      <c r="A2" s="17" t="inlineStr">
        <is>
          <t>Objective</t>
        </is>
      </c>
      <c r="B2" s="17" t="inlineStr">
        <is>
          <t>Track object labels, task status, QA findings, and annotation progress using Excel.</t>
        </is>
      </c>
    </row>
    <row r="3" ht="36" customHeight="1">
      <c r="A3" s="17" t="inlineStr">
        <is>
          <t>Dataset</t>
        </is>
      </c>
      <c r="B3" s="17" t="inlineStr">
        <is>
          <t>60 fictional sample task records. This is a practice dataset, not real employer data.</t>
        </is>
      </c>
    </row>
    <row r="4" ht="36" customHeight="1">
      <c r="A4" s="17" t="inlineStr">
        <is>
          <t>Core Excel skills</t>
        </is>
      </c>
      <c r="B4" s="17" t="inlineStr">
        <is>
          <t>Excel Tables, filters, data validation, COUNTIF/COUNTIFS, PivotTables (optional), charts, conditional formatting.</t>
        </is>
      </c>
    </row>
    <row r="5" ht="36" customHeight="1">
      <c r="A5" s="17" t="inlineStr">
        <is>
          <t>Suggested KPIs</t>
        </is>
      </c>
      <c r="B5" s="17" t="inlineStr">
        <is>
          <t>Total tasks, completed tasks, pending tasks, rejected tasks, QA pass rate, bounding-box completeness.</t>
        </is>
      </c>
    </row>
    <row r="6" ht="36" customHeight="1">
      <c r="A6" s="17" t="inlineStr">
        <is>
          <t>Interview explanation</t>
        </is>
      </c>
      <c r="B6" s="17" t="inlineStr">
        <is>
          <t>I built an Excel tracker using fictional autonomous-driving annotation records. It standardizes object classes and task status, flags quality issues, and summarizes progress with KPI formulas and charts.</t>
        </is>
      </c>
    </row>
    <row r="7" ht="36" customHeight="1">
      <c r="A7" s="17" t="inlineStr">
        <is>
          <t>Important</t>
        </is>
      </c>
      <c r="B7" s="17" t="inlineStr">
        <is>
          <t>Do not claim this was used at a previous employer. Explain that it is a self-directed portfolio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2026-10-29T09:38:22Z</dcterms:created>
  <dcterms:modified xmlns:dcterms="http://purl.org/dc/terms/" xmlns:xsi="http://www.w3.org/2001/XMLSchema-instance" xsi:type="dcterms:W3CDTF">2026-10-29T09:38:22Z</dcterms:modified>
</cp:coreProperties>
</file>